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18339b243075a65/제롬포인트자산관리대부/클로드 교육/"/>
    </mc:Choice>
  </mc:AlternateContent>
  <xr:revisionPtr revIDLastSave="136" documentId="11_4A439F77D022D71E99CAB17750CDC67D7BA08E6C" xr6:coauthVersionLast="47" xr6:coauthVersionMax="47" xr10:uidLastSave="{7EB643AF-D1D0-437C-8AB1-ACF686BBBA80}"/>
  <bookViews>
    <workbookView xWindow="-108" yWindow="-108" windowWidth="41496" windowHeight="16776" xr2:uid="{00000000-000D-0000-FFFF-FFFF00000000}"/>
  </bookViews>
  <sheets>
    <sheet name="탐색" sheetId="1" r:id="rId1"/>
    <sheet name="피벗집계" sheetId="2" r:id="rId2"/>
    <sheet name="대시보드" sheetId="3" r:id="rId3"/>
  </sheets>
  <definedNames>
    <definedName name="슬라이서_시·군·구">#N/A</definedName>
    <definedName name="슬라이서_시도">#N/A</definedName>
    <definedName name="슬라이서_신규">#N/A</definedName>
    <definedName name="슬라이서_용도군">#N/A</definedName>
    <definedName name="슬라이서_채권자_구분">#N/A</definedName>
    <definedName name="슬라이서_청구액_규모대">#N/A</definedName>
    <definedName name="슬라이서_최근_7일">#N/A</definedName>
  </definedNames>
  <calcPr calcId="191029"/>
  <pivotCaches>
    <pivotCache cacheId="7" r:id="rId4"/>
    <pivotCache cacheId="12" r:id="rId5"/>
    <pivotCache cacheId="16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C6" i="3"/>
  <c r="D6" i="3"/>
  <c r="E6" i="3"/>
  <c r="C4" i="1"/>
  <c r="C5" i="1"/>
  <c r="C6" i="1"/>
  <c r="C7" i="1"/>
  <c r="C8" i="1"/>
  <c r="C9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A15" i="1" l="1" a="1"/>
  <c r="A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<sst xmlns="http://schemas.openxmlformats.org/spreadsheetml/2006/main" count="668" uniqueCount="224">
  <si>
    <t>금융기관 경매신청 물건 탐색</t>
  </si>
  <si>
    <t>▼ 위 슬라이서를 눌러 조건을 좁히십시오. 예: 새마을금고 → 상업·업무 → ⑥ 3,000,000,000원 이상. 선택 결과는 아래 15행부터 전부 표시됩니다. (해제: 슬라이서 우측 상단 지우개 아이콘)</t>
  </si>
  <si>
    <t>선택 건수</t>
  </si>
  <si>
    <t>청구액 합계(원)</t>
  </si>
  <si>
    <t>청구액 평균(원)</t>
  </si>
  <si>
    <t>청구액 최대(원)</t>
  </si>
  <si>
    <t>감정가 합계(원)</t>
  </si>
  <si>
    <t>전체 대비 비율(%)</t>
  </si>
  <si>
    <t>▼ 여기가 선택 결과입니다 (선택 조건에 맞는 전체 건수가 표시됩니다)</t>
  </si>
  <si>
    <t>연번</t>
  </si>
  <si>
    <t>채권자 구분</t>
  </si>
  <si>
    <t>채권자</t>
  </si>
  <si>
    <t>시도</t>
  </si>
  <si>
    <t>시·군·구</t>
  </si>
  <si>
    <t>법원</t>
  </si>
  <si>
    <t>담당계</t>
  </si>
  <si>
    <t>사건번호</t>
  </si>
  <si>
    <t>경매구분</t>
  </si>
  <si>
    <t>용도</t>
  </si>
  <si>
    <t>용도군</t>
  </si>
  <si>
    <t>물건 소재지</t>
  </si>
  <si>
    <t>채무자</t>
  </si>
  <si>
    <t>소유자</t>
  </si>
  <si>
    <t>청구액(원)</t>
  </si>
  <si>
    <t>감정가(원)</t>
  </si>
  <si>
    <t>청구액 규모대</t>
  </si>
  <si>
    <t>경매개시일</t>
  </si>
  <si>
    <t>경과일</t>
  </si>
  <si>
    <t>최근 7일</t>
  </si>
  <si>
    <t>신규</t>
  </si>
  <si>
    <t>배당요구종기</t>
  </si>
  <si>
    <t>상태</t>
  </si>
  <si>
    <t>수집일</t>
  </si>
  <si>
    <t>▼ 아래는 원본 표(슬라이서 필터 대상) — 보지 않으셔도 됩니다. 지우거나 숨기지 마십시오.</t>
  </si>
  <si>
    <t>표시여부(보조)</t>
  </si>
  <si>
    <t>새마을금고</t>
  </si>
  <si>
    <t>서울</t>
  </si>
  <si>
    <t>관악구</t>
  </si>
  <si>
    <t>중앙</t>
  </si>
  <si>
    <t>10계</t>
  </si>
  <si>
    <t>임의경매</t>
  </si>
  <si>
    <t>근린시설</t>
  </si>
  <si>
    <t>상업·업무</t>
  </si>
  <si>
    <t>⑥ 3,000,000,000원 이상</t>
  </si>
  <si>
    <t>해당없음</t>
  </si>
  <si>
    <t>대기</t>
  </si>
  <si>
    <t>용산구</t>
  </si>
  <si>
    <t>서부</t>
  </si>
  <si>
    <t>1계</t>
  </si>
  <si>
    <t>상가</t>
  </si>
  <si>
    <t>⑤ 1,000,000,000~3,000,000,000원</t>
  </si>
  <si>
    <t>취하</t>
  </si>
  <si>
    <t>강남구</t>
  </si>
  <si>
    <t>9계</t>
  </si>
  <si>
    <t>오피스텔</t>
  </si>
  <si>
    <t>송파구</t>
  </si>
  <si>
    <t>동부</t>
  </si>
  <si>
    <t>3계</t>
  </si>
  <si>
    <t>아파트</t>
  </si>
  <si>
    <t>주거</t>
  </si>
  <si>
    <t>광진구</t>
  </si>
  <si>
    <t>금천구</t>
  </si>
  <si>
    <t>남부</t>
  </si>
  <si>
    <t>근린주택</t>
  </si>
  <si>
    <t>④ 500,000,000~1,000,000,000원</t>
  </si>
  <si>
    <t>강서구</t>
  </si>
  <si>
    <t>해당</t>
  </si>
  <si>
    <t>4계</t>
  </si>
  <si>
    <t>영등포구</t>
  </si>
  <si>
    <t>기타</t>
  </si>
  <si>
    <t>주택</t>
  </si>
  <si>
    <t>③ 300,000,000~500,000,000원</t>
  </si>
  <si>
    <t>동대문구</t>
  </si>
  <si>
    <t>북부</t>
  </si>
  <si>
    <t>다세대</t>
  </si>
  <si>
    <t>② 100,000,000~300,000,000원</t>
  </si>
  <si>
    <t>6계</t>
  </si>
  <si>
    <t>성북구</t>
  </si>
  <si>
    <t>5계</t>
  </si>
  <si>
    <t>도봉구</t>
  </si>
  <si>
    <t>12계</t>
  </si>
  <si>
    <t>① 100,000,000원 미만</t>
  </si>
  <si>
    <t>경기</t>
  </si>
  <si>
    <t>수원</t>
  </si>
  <si>
    <t>고양</t>
  </si>
  <si>
    <t>김포시</t>
  </si>
  <si>
    <t>부천</t>
  </si>
  <si>
    <t>토지</t>
  </si>
  <si>
    <t>고양시</t>
  </si>
  <si>
    <t>안산</t>
  </si>
  <si>
    <t>용인시</t>
  </si>
  <si>
    <t>2계</t>
  </si>
  <si>
    <t>대지</t>
  </si>
  <si>
    <t>13계</t>
  </si>
  <si>
    <t>8계</t>
  </si>
  <si>
    <t>다세대(생활주택)</t>
  </si>
  <si>
    <t>11계</t>
  </si>
  <si>
    <t>정지</t>
  </si>
  <si>
    <t>강제경매</t>
  </si>
  <si>
    <t>수협</t>
  </si>
  <si>
    <t>21계</t>
  </si>
  <si>
    <t>은평구</t>
  </si>
  <si>
    <t>안산시</t>
  </si>
  <si>
    <t>제조업소</t>
  </si>
  <si>
    <t>신협</t>
  </si>
  <si>
    <t>양천구</t>
  </si>
  <si>
    <t>강북구</t>
  </si>
  <si>
    <t>서대문구</t>
  </si>
  <si>
    <t>마포구</t>
  </si>
  <si>
    <t>성동구</t>
  </si>
  <si>
    <t>중랑구</t>
  </si>
  <si>
    <t>다가구주택</t>
  </si>
  <si>
    <t>저축은행</t>
  </si>
  <si>
    <t>노원구</t>
  </si>
  <si>
    <t>구로구</t>
  </si>
  <si>
    <t>점포(근린시설)</t>
  </si>
  <si>
    <t>행 레이블</t>
  </si>
  <si>
    <t>총합계</t>
  </si>
  <si>
    <t>열 레이블</t>
  </si>
  <si>
    <t>건수</t>
  </si>
  <si>
    <t>전체 건수</t>
  </si>
  <si>
    <t>전체 청구액 합계(원)</t>
  </si>
  <si>
    <t>금융기관 경매신청 레이더 — 서울·경기</t>
  </si>
  <si>
    <t>경매개시결정일 2026-07-13 ~ 2026-08-11 · 서울특별시·경기도 · 전 용도 · 상태 대기(예정물건) · 총 181건 · 채권자 키워드: 신협 / 수협 / 저축은행 / (새)=새마을금고 · 출처: 지지옥션 예정검색, 수집일 2026-08-11</t>
  </si>
  <si>
    <t>총 건수</t>
  </si>
  <si>
    <t>신규 건수</t>
  </si>
  <si>
    <t>최근 7일 건수</t>
  </si>
  <si>
    <t>신협 1지점</t>
  </si>
  <si>
    <t>신협 2지점</t>
  </si>
  <si>
    <t>신협 3지점</t>
  </si>
  <si>
    <t>신협 4지점</t>
  </si>
  <si>
    <t>신협 5지점</t>
  </si>
  <si>
    <t>신협 6지점</t>
  </si>
  <si>
    <t>신협 7지점</t>
  </si>
  <si>
    <t>신협 8지점</t>
  </si>
  <si>
    <t>저축은행 1지점</t>
  </si>
  <si>
    <t>저축은행 2지점</t>
  </si>
  <si>
    <t>저축은행 3지점</t>
  </si>
  <si>
    <t>저축은행 4지점</t>
  </si>
  <si>
    <t>저축은행 5지점</t>
  </si>
  <si>
    <t>저축은행 6지점</t>
  </si>
  <si>
    <t>저축은행 7지점</t>
  </si>
  <si>
    <t>저축은행 8지점</t>
  </si>
  <si>
    <t>수협 1지점</t>
  </si>
  <si>
    <t>수협 2지점</t>
  </si>
  <si>
    <t>수협 3지점</t>
  </si>
  <si>
    <t>수협 4지점</t>
  </si>
  <si>
    <t>수협 5지점</t>
  </si>
  <si>
    <t>수협 6지점</t>
  </si>
  <si>
    <t>수협 7지점</t>
  </si>
  <si>
    <t>수협 8지점</t>
  </si>
  <si>
    <t>새마을금고 1지점</t>
  </si>
  <si>
    <t>새마을금고 2지점</t>
  </si>
  <si>
    <t>새마을금고 3지점</t>
  </si>
  <si>
    <t>새마을금고 4지점</t>
  </si>
  <si>
    <t>새마을금고 5지점</t>
  </si>
  <si>
    <t>새마을금고 6지점</t>
  </si>
  <si>
    <t>새마을금고 7지점</t>
  </si>
  <si>
    <t>새마을금고 8지점</t>
  </si>
  <si>
    <t>2026-00001</t>
    <phoneticPr fontId="10" type="noConversion"/>
  </si>
  <si>
    <t>2026-00002</t>
    <phoneticPr fontId="10" type="noConversion"/>
  </si>
  <si>
    <t>2026-00003</t>
    <phoneticPr fontId="10" type="noConversion"/>
  </si>
  <si>
    <t>2026-00004</t>
    <phoneticPr fontId="10" type="noConversion"/>
  </si>
  <si>
    <t>2026-00005</t>
    <phoneticPr fontId="10" type="noConversion"/>
  </si>
  <si>
    <t>2026-00006</t>
    <phoneticPr fontId="10" type="noConversion"/>
  </si>
  <si>
    <t>2026-00007</t>
    <phoneticPr fontId="10" type="noConversion"/>
  </si>
  <si>
    <t>2026-00008</t>
    <phoneticPr fontId="10" type="noConversion"/>
  </si>
  <si>
    <t>2026-00009</t>
    <phoneticPr fontId="10" type="noConversion"/>
  </si>
  <si>
    <t>2026-00010</t>
    <phoneticPr fontId="10" type="noConversion"/>
  </si>
  <si>
    <t>2026-00011</t>
    <phoneticPr fontId="10" type="noConversion"/>
  </si>
  <si>
    <t>2026-00012</t>
    <phoneticPr fontId="10" type="noConversion"/>
  </si>
  <si>
    <t>2026-00013</t>
    <phoneticPr fontId="10" type="noConversion"/>
  </si>
  <si>
    <t>2026-00014</t>
    <phoneticPr fontId="10" type="noConversion"/>
  </si>
  <si>
    <t>2026-00015</t>
    <phoneticPr fontId="10" type="noConversion"/>
  </si>
  <si>
    <t>2026-00016</t>
    <phoneticPr fontId="10" type="noConversion"/>
  </si>
  <si>
    <t>2026-00017</t>
    <phoneticPr fontId="10" type="noConversion"/>
  </si>
  <si>
    <t>2026-00018</t>
    <phoneticPr fontId="10" type="noConversion"/>
  </si>
  <si>
    <t>2026-00019</t>
    <phoneticPr fontId="10" type="noConversion"/>
  </si>
  <si>
    <t>2026-00020</t>
    <phoneticPr fontId="10" type="noConversion"/>
  </si>
  <si>
    <t>2026-00021</t>
    <phoneticPr fontId="10" type="noConversion"/>
  </si>
  <si>
    <t>2026-00022</t>
    <phoneticPr fontId="10" type="noConversion"/>
  </si>
  <si>
    <t>2026-00023</t>
    <phoneticPr fontId="10" type="noConversion"/>
  </si>
  <si>
    <t>2026-00024</t>
    <phoneticPr fontId="10" type="noConversion"/>
  </si>
  <si>
    <t>2026-00025</t>
    <phoneticPr fontId="10" type="noConversion"/>
  </si>
  <si>
    <t>2026-00026</t>
    <phoneticPr fontId="10" type="noConversion"/>
  </si>
  <si>
    <t>2026-00027</t>
    <phoneticPr fontId="10" type="noConversion"/>
  </si>
  <si>
    <t>2026-00028</t>
    <phoneticPr fontId="10" type="noConversion"/>
  </si>
  <si>
    <t>2026-00029</t>
    <phoneticPr fontId="10" type="noConversion"/>
  </si>
  <si>
    <t>2026-00030</t>
    <phoneticPr fontId="10" type="noConversion"/>
  </si>
  <si>
    <t>2026-00031</t>
    <phoneticPr fontId="10" type="noConversion"/>
  </si>
  <si>
    <t>2026-00032</t>
    <phoneticPr fontId="10" type="noConversion"/>
  </si>
  <si>
    <t>서울 관악구 봉천동</t>
    <phoneticPr fontId="10" type="noConversion"/>
  </si>
  <si>
    <t>홍○○</t>
    <phoneticPr fontId="10" type="noConversion"/>
  </si>
  <si>
    <t>서울 용산구 원효로</t>
    <phoneticPr fontId="10" type="noConversion"/>
  </si>
  <si>
    <t>서울 강남구 역삼동</t>
    <phoneticPr fontId="10" type="noConversion"/>
  </si>
  <si>
    <t>서울 송파구 가락동</t>
    <phoneticPr fontId="10" type="noConversion"/>
  </si>
  <si>
    <t>서울 광진구 중곡동</t>
    <phoneticPr fontId="10" type="noConversion"/>
  </si>
  <si>
    <t>서울 금천구 독산동</t>
    <phoneticPr fontId="10" type="noConversion"/>
  </si>
  <si>
    <t>서울 강서구 마곡동</t>
    <phoneticPr fontId="10" type="noConversion"/>
  </si>
  <si>
    <t>서울 송파구 장지동</t>
    <phoneticPr fontId="10" type="noConversion"/>
  </si>
  <si>
    <t>서울 관악구 남현동</t>
    <phoneticPr fontId="10" type="noConversion"/>
  </si>
  <si>
    <t>서울 강서구 방화동</t>
    <phoneticPr fontId="10" type="noConversion"/>
  </si>
  <si>
    <t>서울 은평구 불광동</t>
    <phoneticPr fontId="10" type="noConversion"/>
  </si>
  <si>
    <t>서울 도봉구 창동</t>
    <phoneticPr fontId="10" type="noConversion"/>
  </si>
  <si>
    <t>서울 영등포구 당산동</t>
    <phoneticPr fontId="10" type="noConversion"/>
  </si>
  <si>
    <t>서울 금천구 가산동</t>
    <phoneticPr fontId="10" type="noConversion"/>
  </si>
  <si>
    <t>경기 안산시 단원구</t>
    <phoneticPr fontId="10" type="noConversion"/>
  </si>
  <si>
    <t>서울 양천구 목동</t>
    <phoneticPr fontId="10" type="noConversion"/>
  </si>
  <si>
    <t>서울 강북구 우이동</t>
    <phoneticPr fontId="10" type="noConversion"/>
  </si>
  <si>
    <t>서울 서대문구 홍은동</t>
    <phoneticPr fontId="10" type="noConversion"/>
  </si>
  <si>
    <t>서울 서대문구 북가좌동</t>
    <phoneticPr fontId="10" type="noConversion"/>
  </si>
  <si>
    <t>서울 마포구 도화동</t>
    <phoneticPr fontId="10" type="noConversion"/>
  </si>
  <si>
    <t>서울 성동구 금호동</t>
    <phoneticPr fontId="10" type="noConversion"/>
  </si>
  <si>
    <t>서울 동대문구 제기동</t>
    <phoneticPr fontId="10" type="noConversion"/>
  </si>
  <si>
    <t>서울 중랑구 면목동</t>
    <phoneticPr fontId="10" type="noConversion"/>
  </si>
  <si>
    <t>서울 성북구 종암동</t>
    <phoneticPr fontId="10" type="noConversion"/>
  </si>
  <si>
    <t>서울 노원구 상계동</t>
    <phoneticPr fontId="10" type="noConversion"/>
  </si>
  <si>
    <t>서울 금천구 시흥동</t>
    <phoneticPr fontId="10" type="noConversion"/>
  </si>
  <si>
    <t>서울 구로구 구로동</t>
    <phoneticPr fontId="10" type="noConversion"/>
  </si>
  <si>
    <t>서울 은평구 대조동</t>
    <phoneticPr fontId="10" type="noConversion"/>
  </si>
  <si>
    <t>경기 김포시 걸포동</t>
    <phoneticPr fontId="10" type="noConversion"/>
  </si>
  <si>
    <t>경기 용인시 기흥구</t>
    <phoneticPr fontId="10" type="noConversion"/>
  </si>
  <si>
    <t>경기 고양시 일산서구</t>
    <phoneticPr fontId="10" type="noConversion"/>
  </si>
  <si>
    <t>※ 엑셀 기능을 보여드리려고 만든 가상 자료입니다. 기관명·사건번호·금액은 모두 임의로 만들었고 주소는 동까지만 남겼습니다. 실제 물건과 아무 관련이 없으니 데이터 자체에는 의미를 두지 마십시오.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</si>
</sst>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&quot;%&quot;"/>
    <numFmt numFmtId="177" formatCode="yyyy\-mm\-dd"/>
  </numFmts>
  <fonts count="13">
    <font>
      <sz val="11"/>
      <color theme="1"/>
      <name val="맑은 고딕"/>
      <family val="2"/>
      <scheme val="minor"/>
    </font>
    <font>
      <b/>
      <sz val="14"/>
      <color rgb="FF1F4E79"/>
      <name val="Noto Sans CJK SC"/>
    </font>
    <font>
      <sz val="9"/>
      <color rgb="FF595959"/>
      <name val="Noto Sans CJK SC"/>
    </font>
    <font>
      <b/>
      <sz val="10"/>
      <color rgb="FFFFFFFF"/>
      <name val="Noto Sans CJK SC"/>
    </font>
    <font>
      <b/>
      <sz val="13"/>
      <color rgb="FFC00000"/>
      <name val="Noto Sans CJK SC"/>
    </font>
    <font>
      <b/>
      <sz val="10"/>
      <color rgb="FFC00000"/>
      <name val="Noto Sans CJK SC"/>
    </font>
    <font>
      <sz val="10"/>
      <name val="Noto Sans CJK SC"/>
    </font>
    <font>
      <b/>
      <sz val="10"/>
      <color rgb="FF808080"/>
      <name val="Noto Sans CJK SC"/>
    </font>
    <font>
      <b/>
      <sz val="9"/>
      <color rgb="FF808080"/>
      <name val="Noto Sans CJK SC"/>
    </font>
    <font>
      <sz val="9"/>
      <name val="Noto Sans CJK SC"/>
    </font>
    <font>
      <sz val="8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E4"/>
      </patternFill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3" fontId="4" fillId="3" borderId="0" xfId="0" applyNumberFormat="1" applyFont="1" applyFill="1" applyAlignment="1">
      <alignment horizontal="right" vertical="center"/>
    </xf>
    <xf numFmtId="176" fontId="4" fillId="3" borderId="0" xfId="0" applyNumberFormat="1" applyFont="1" applyFill="1" applyAlignment="1">
      <alignment horizontal="right" vertical="center"/>
    </xf>
    <xf numFmtId="0" fontId="5" fillId="0" borderId="0" xfId="0" applyFont="1"/>
    <xf numFmtId="0" fontId="3" fillId="2" borderId="0" xfId="0" applyFont="1" applyFill="1" applyAlignment="1">
      <alignment horizontal="center" vertical="center" wrapText="1"/>
    </xf>
    <xf numFmtId="1" fontId="6" fillId="0" borderId="0" xfId="0" applyNumberFormat="1" applyFont="1"/>
    <xf numFmtId="0" fontId="6" fillId="0" borderId="0" xfId="0" applyFont="1"/>
    <xf numFmtId="3" fontId="6" fillId="0" borderId="0" xfId="0" applyNumberFormat="1" applyFont="1"/>
    <xf numFmtId="177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11" fillId="4" borderId="0" xfId="0" applyFont="1" applyFill="1" applyAlignment="1">
      <alignment horizontal="center" wrapText="1"/>
    </xf>
    <xf numFmtId="0" fontId="12" fillId="5" borderId="0" xfId="0" applyFont="1" applyFill="1" applyAlignment="1">
      <alignment horizontal="center"/>
    </xf>
    <xf numFmtId="0" fontId="0" fillId="0" borderId="0" xfId="0" applyNumberFormat="1"/>
  </cellXfs>
  <cellStyles count="1">
    <cellStyle name="표준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  <numFmt numFmtId="177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  <numFmt numFmtId="177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  <numFmt numFmtId="177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 CJK S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Noto Sans CJK SC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microsoft.com/office/2007/relationships/slicerCache" Target="slicerCaches/slicerCache7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5.xml"/><Relationship Id="rId5" Type="http://schemas.openxmlformats.org/officeDocument/2006/relationships/pivotCacheDefinition" Target="pivotCache/pivotCacheDefinition2.xml"/><Relationship Id="rId15" Type="http://schemas.openxmlformats.org/officeDocument/2006/relationships/styles" Target="styles.xml"/><Relationship Id="rId10" Type="http://schemas.microsoft.com/office/2007/relationships/slicerCache" Target="slicerCaches/slicerCache4.xml"/><Relationship Id="rId19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3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[엑셀_다중선택_탐색시트_예제.xlsx]피벗집계!PT_채권자_시도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ko-KR" altLang="en-US"/>
              <a:t>채권자 구분별 건수 </a:t>
            </a:r>
            <a:r>
              <a:rPr lang="en-US" altLang="ko-KR"/>
              <a:t>(</a:t>
            </a:r>
            <a:r>
              <a:rPr lang="ko-KR" altLang="en-US"/>
              <a:t>서울</a:t>
            </a:r>
            <a:r>
              <a:rPr lang="en-US" altLang="ko-KR"/>
              <a:t>·</a:t>
            </a:r>
            <a:r>
              <a:rPr lang="ko-KR" altLang="en-US"/>
              <a:t>경기 누적</a:t>
            </a:r>
            <a:r>
              <a:rPr lang="en-US" altLang="ko-KR"/>
              <a:t>)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피벗집계!$B$3:$B$5</c:f>
              <c:strCache>
                <c:ptCount val="1"/>
                <c:pt idx="0">
                  <c:v>경기 - 건수</c:v>
                </c:pt>
              </c:strCache>
            </c:strRef>
          </c:tx>
          <c:invertIfNegative val="0"/>
          <c:cat>
            <c:strRef>
              <c:f>피벗집계!$A$6:$A$10</c:f>
              <c:strCache>
                <c:ptCount val="4"/>
                <c:pt idx="0">
                  <c:v>새마을금고</c:v>
                </c:pt>
                <c:pt idx="1">
                  <c:v>수협</c:v>
                </c:pt>
                <c:pt idx="2">
                  <c:v>신협</c:v>
                </c:pt>
                <c:pt idx="3">
                  <c:v>저축은행</c:v>
                </c:pt>
              </c:strCache>
            </c:strRef>
          </c:cat>
          <c:val>
            <c:numRef>
              <c:f>피벗집계!$B$6:$B$10</c:f>
              <c:numCache>
                <c:formatCode>#,##0</c:formatCode>
                <c:ptCount val="4"/>
                <c:pt idx="0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12-4D92-B9D8-48E191DEE456}"/>
            </c:ext>
          </c:extLst>
        </c:ser>
        <c:ser>
          <c:idx val="1"/>
          <c:order val="1"/>
          <c:tx>
            <c:strRef>
              <c:f>피벗집계!$C$3:$C$5</c:f>
              <c:strCache>
                <c:ptCount val="1"/>
                <c:pt idx="0">
                  <c:v>경기 - 청구액 합계(원)</c:v>
                </c:pt>
              </c:strCache>
            </c:strRef>
          </c:tx>
          <c:invertIfNegative val="0"/>
          <c:cat>
            <c:strRef>
              <c:f>피벗집계!$A$6:$A$10</c:f>
              <c:strCache>
                <c:ptCount val="4"/>
                <c:pt idx="0">
                  <c:v>새마을금고</c:v>
                </c:pt>
                <c:pt idx="1">
                  <c:v>수협</c:v>
                </c:pt>
                <c:pt idx="2">
                  <c:v>신협</c:v>
                </c:pt>
                <c:pt idx="3">
                  <c:v>저축은행</c:v>
                </c:pt>
              </c:strCache>
            </c:strRef>
          </c:cat>
          <c:val>
            <c:numRef>
              <c:f>피벗집계!$C$6:$C$10</c:f>
              <c:numCache>
                <c:formatCode>#,##0</c:formatCode>
                <c:ptCount val="4"/>
                <c:pt idx="0">
                  <c:v>4793520000</c:v>
                </c:pt>
                <c:pt idx="3">
                  <c:v>737180000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12-4D92-B9D8-48E191DEE456}"/>
            </c:ext>
          </c:extLst>
        </c:ser>
        <c:ser>
          <c:idx val="2"/>
          <c:order val="2"/>
          <c:tx>
            <c:strRef>
              <c:f>피벗집계!$D$3:$D$5</c:f>
              <c:strCache>
                <c:ptCount val="1"/>
                <c:pt idx="0">
                  <c:v>서울 - 건수</c:v>
                </c:pt>
              </c:strCache>
            </c:strRef>
          </c:tx>
          <c:invertIfNegative val="0"/>
          <c:cat>
            <c:strRef>
              <c:f>피벗집계!$A$6:$A$10</c:f>
              <c:strCache>
                <c:ptCount val="4"/>
                <c:pt idx="0">
                  <c:v>새마을금고</c:v>
                </c:pt>
                <c:pt idx="1">
                  <c:v>수협</c:v>
                </c:pt>
                <c:pt idx="2">
                  <c:v>신협</c:v>
                </c:pt>
                <c:pt idx="3">
                  <c:v>저축은행</c:v>
                </c:pt>
              </c:strCache>
            </c:strRef>
          </c:cat>
          <c:val>
            <c:numRef>
              <c:f>피벗집계!$D$6:$D$10</c:f>
              <c:numCache>
                <c:formatCode>#,##0</c:formatCode>
                <c:ptCount val="4"/>
                <c:pt idx="0">
                  <c:v>5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12-4D92-B9D8-48E191DEE456}"/>
            </c:ext>
          </c:extLst>
        </c:ser>
        <c:ser>
          <c:idx val="3"/>
          <c:order val="3"/>
          <c:tx>
            <c:strRef>
              <c:f>피벗집계!$E$3:$E$5</c:f>
              <c:strCache>
                <c:ptCount val="1"/>
                <c:pt idx="0">
                  <c:v>서울 - 청구액 합계(원)</c:v>
                </c:pt>
              </c:strCache>
            </c:strRef>
          </c:tx>
          <c:invertIfNegative val="0"/>
          <c:cat>
            <c:strRef>
              <c:f>피벗집계!$A$6:$A$10</c:f>
              <c:strCache>
                <c:ptCount val="4"/>
                <c:pt idx="0">
                  <c:v>새마을금고</c:v>
                </c:pt>
                <c:pt idx="1">
                  <c:v>수협</c:v>
                </c:pt>
                <c:pt idx="2">
                  <c:v>신협</c:v>
                </c:pt>
                <c:pt idx="3">
                  <c:v>저축은행</c:v>
                </c:pt>
              </c:strCache>
            </c:strRef>
          </c:cat>
          <c:val>
            <c:numRef>
              <c:f>피벗집계!$E$6:$E$10</c:f>
              <c:numCache>
                <c:formatCode>#,##0</c:formatCode>
                <c:ptCount val="4"/>
                <c:pt idx="0">
                  <c:v>3074710000</c:v>
                </c:pt>
                <c:pt idx="1">
                  <c:v>15746610000</c:v>
                </c:pt>
                <c:pt idx="2">
                  <c:v>9663440000</c:v>
                </c:pt>
                <c:pt idx="3">
                  <c:v>8015990000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12-4D92-B9D8-48E191DEE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129328"/>
        <c:axId val="1778250480"/>
      </c:barChart>
      <c:catAx>
        <c:axId val="95212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8250480"/>
        <c:crosses val="autoZero"/>
        <c:auto val="1"/>
        <c:lblAlgn val="ctr"/>
        <c:lblOffset val="100"/>
        <c:noMultiLvlLbl val="0"/>
      </c:catAx>
      <c:valAx>
        <c:axId val="17782504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952129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1F4E79"/>
      </a:solidFill>
      <a:round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[엑셀_다중선택_탐색시트_예제.xlsx]피벗집계!PT_시군구_상위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ko-KR" altLang="en-US"/>
              <a:t>시</a:t>
            </a:r>
            <a:r>
              <a:rPr lang="en-US" altLang="ko-KR"/>
              <a:t>·</a:t>
            </a:r>
            <a:r>
              <a:rPr lang="ko-KR" altLang="en-US"/>
              <a:t>군</a:t>
            </a:r>
            <a:r>
              <a:rPr lang="en-US" altLang="ko-KR"/>
              <a:t>·</a:t>
            </a:r>
            <a:r>
              <a:rPr lang="ko-KR" altLang="en-US"/>
              <a:t>구별 건수 </a:t>
            </a:r>
            <a:r>
              <a:rPr lang="en-US" altLang="ko-KR"/>
              <a:t>(</a:t>
            </a:r>
            <a:r>
              <a:rPr lang="ko-KR" altLang="en-US"/>
              <a:t>많은 순</a:t>
            </a:r>
            <a:r>
              <a:rPr lang="en-US" altLang="ko-KR"/>
              <a:t>)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피벗집계!$Q$3</c:f>
              <c:strCache>
                <c:ptCount val="1"/>
                <c:pt idx="0">
                  <c:v>건수</c:v>
                </c:pt>
              </c:strCache>
            </c:strRef>
          </c:tx>
          <c:invertIfNegative val="0"/>
          <c:cat>
            <c:strRef>
              <c:f>피벗집계!$P$4:$P$28</c:f>
              <c:strCache>
                <c:ptCount val="24"/>
                <c:pt idx="0">
                  <c:v>중랑구</c:v>
                </c:pt>
                <c:pt idx="1">
                  <c:v>은평구</c:v>
                </c:pt>
                <c:pt idx="2">
                  <c:v>용인시</c:v>
                </c:pt>
                <c:pt idx="3">
                  <c:v>용산구</c:v>
                </c:pt>
                <c:pt idx="4">
                  <c:v>영등포구</c:v>
                </c:pt>
                <c:pt idx="5">
                  <c:v>양천구</c:v>
                </c:pt>
                <c:pt idx="6">
                  <c:v>안산시</c:v>
                </c:pt>
                <c:pt idx="7">
                  <c:v>송파구</c:v>
                </c:pt>
                <c:pt idx="8">
                  <c:v>성북구</c:v>
                </c:pt>
                <c:pt idx="9">
                  <c:v>성동구</c:v>
                </c:pt>
                <c:pt idx="10">
                  <c:v>서대문구</c:v>
                </c:pt>
                <c:pt idx="11">
                  <c:v>마포구</c:v>
                </c:pt>
                <c:pt idx="12">
                  <c:v>동대문구</c:v>
                </c:pt>
                <c:pt idx="13">
                  <c:v>도봉구</c:v>
                </c:pt>
                <c:pt idx="14">
                  <c:v>노원구</c:v>
                </c:pt>
                <c:pt idx="15">
                  <c:v>김포시</c:v>
                </c:pt>
                <c:pt idx="16">
                  <c:v>금천구</c:v>
                </c:pt>
                <c:pt idx="17">
                  <c:v>구로구</c:v>
                </c:pt>
                <c:pt idx="18">
                  <c:v>광진구</c:v>
                </c:pt>
                <c:pt idx="19">
                  <c:v>관악구</c:v>
                </c:pt>
                <c:pt idx="20">
                  <c:v>고양시</c:v>
                </c:pt>
                <c:pt idx="21">
                  <c:v>강서구</c:v>
                </c:pt>
                <c:pt idx="22">
                  <c:v>강북구</c:v>
                </c:pt>
                <c:pt idx="23">
                  <c:v>강남구</c:v>
                </c:pt>
              </c:strCache>
            </c:strRef>
          </c:cat>
          <c:val>
            <c:numRef>
              <c:f>피벗집계!$Q$4:$Q$28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E4-4669-9A69-0C177C5E8F95}"/>
            </c:ext>
          </c:extLst>
        </c:ser>
        <c:ser>
          <c:idx val="1"/>
          <c:order val="1"/>
          <c:tx>
            <c:strRef>
              <c:f>피벗집계!$R$3</c:f>
              <c:strCache>
                <c:ptCount val="1"/>
                <c:pt idx="0">
                  <c:v>청구액 합계(원)</c:v>
                </c:pt>
              </c:strCache>
            </c:strRef>
          </c:tx>
          <c:invertIfNegative val="0"/>
          <c:cat>
            <c:strRef>
              <c:f>피벗집계!$P$4:$P$28</c:f>
              <c:strCache>
                <c:ptCount val="24"/>
                <c:pt idx="0">
                  <c:v>중랑구</c:v>
                </c:pt>
                <c:pt idx="1">
                  <c:v>은평구</c:v>
                </c:pt>
                <c:pt idx="2">
                  <c:v>용인시</c:v>
                </c:pt>
                <c:pt idx="3">
                  <c:v>용산구</c:v>
                </c:pt>
                <c:pt idx="4">
                  <c:v>영등포구</c:v>
                </c:pt>
                <c:pt idx="5">
                  <c:v>양천구</c:v>
                </c:pt>
                <c:pt idx="6">
                  <c:v>안산시</c:v>
                </c:pt>
                <c:pt idx="7">
                  <c:v>송파구</c:v>
                </c:pt>
                <c:pt idx="8">
                  <c:v>성북구</c:v>
                </c:pt>
                <c:pt idx="9">
                  <c:v>성동구</c:v>
                </c:pt>
                <c:pt idx="10">
                  <c:v>서대문구</c:v>
                </c:pt>
                <c:pt idx="11">
                  <c:v>마포구</c:v>
                </c:pt>
                <c:pt idx="12">
                  <c:v>동대문구</c:v>
                </c:pt>
                <c:pt idx="13">
                  <c:v>도봉구</c:v>
                </c:pt>
                <c:pt idx="14">
                  <c:v>노원구</c:v>
                </c:pt>
                <c:pt idx="15">
                  <c:v>김포시</c:v>
                </c:pt>
                <c:pt idx="16">
                  <c:v>금천구</c:v>
                </c:pt>
                <c:pt idx="17">
                  <c:v>구로구</c:v>
                </c:pt>
                <c:pt idx="18">
                  <c:v>광진구</c:v>
                </c:pt>
                <c:pt idx="19">
                  <c:v>관악구</c:v>
                </c:pt>
                <c:pt idx="20">
                  <c:v>고양시</c:v>
                </c:pt>
                <c:pt idx="21">
                  <c:v>강서구</c:v>
                </c:pt>
                <c:pt idx="22">
                  <c:v>강북구</c:v>
                </c:pt>
                <c:pt idx="23">
                  <c:v>강남구</c:v>
                </c:pt>
              </c:strCache>
            </c:strRef>
          </c:cat>
          <c:val>
            <c:numRef>
              <c:f>피벗집계!$R$4:$R$28</c:f>
              <c:numCache>
                <c:formatCode>#,##0</c:formatCode>
                <c:ptCount val="24"/>
                <c:pt idx="0">
                  <c:v>4834720000</c:v>
                </c:pt>
                <c:pt idx="1">
                  <c:v>4262930000</c:v>
                </c:pt>
                <c:pt idx="2">
                  <c:v>81860000</c:v>
                </c:pt>
                <c:pt idx="3">
                  <c:v>247220000</c:v>
                </c:pt>
                <c:pt idx="4">
                  <c:v>48880000</c:v>
                </c:pt>
                <c:pt idx="5">
                  <c:v>1395580000</c:v>
                </c:pt>
                <c:pt idx="6">
                  <c:v>737180000</c:v>
                </c:pt>
                <c:pt idx="7">
                  <c:v>1042540000</c:v>
                </c:pt>
                <c:pt idx="8">
                  <c:v>58220000</c:v>
                </c:pt>
                <c:pt idx="9">
                  <c:v>763290000</c:v>
                </c:pt>
                <c:pt idx="10">
                  <c:v>205280000</c:v>
                </c:pt>
                <c:pt idx="11">
                  <c:v>461080000</c:v>
                </c:pt>
                <c:pt idx="12">
                  <c:v>1952280000</c:v>
                </c:pt>
                <c:pt idx="13">
                  <c:v>3434740000</c:v>
                </c:pt>
                <c:pt idx="14">
                  <c:v>138270000</c:v>
                </c:pt>
                <c:pt idx="15">
                  <c:v>4505590000</c:v>
                </c:pt>
                <c:pt idx="16">
                  <c:v>5817090000</c:v>
                </c:pt>
                <c:pt idx="17">
                  <c:v>804090000</c:v>
                </c:pt>
                <c:pt idx="18">
                  <c:v>3138990000</c:v>
                </c:pt>
                <c:pt idx="19">
                  <c:v>395390000</c:v>
                </c:pt>
                <c:pt idx="20">
                  <c:v>206070000</c:v>
                </c:pt>
                <c:pt idx="21">
                  <c:v>958410000</c:v>
                </c:pt>
                <c:pt idx="22">
                  <c:v>6134380000</c:v>
                </c:pt>
                <c:pt idx="23">
                  <c:v>407370000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E4-4669-9A69-0C177C5E8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2210992"/>
        <c:axId val="1778259600"/>
      </c:barChart>
      <c:catAx>
        <c:axId val="9522109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778259600"/>
        <c:crosses val="autoZero"/>
        <c:auto val="1"/>
        <c:lblAlgn val="ctr"/>
        <c:lblOffset val="100"/>
        <c:noMultiLvlLbl val="0"/>
      </c:catAx>
      <c:valAx>
        <c:axId val="17782596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95221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solidFill>
        <a:srgbClr val="1F4E79"/>
      </a:solidFill>
      <a:round/>
    </a:ln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3175000" y="609600"/>
    <xdr:ext cx="1828800" cy="215900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SL_채권자구분">
              <a:extLst>
                <a:ext uri="{FF2B5EF4-FFF2-40B4-BE49-F238E27FC236}">
                  <a16:creationId xmlns:a16="http://schemas.microsoft.com/office/drawing/2014/main" id="{AA3CAB9B-5A80-3F51-15C9-7AD2A66041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채권자구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05200" y="678180"/>
              <a:ext cx="1828800" cy="2924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absoluteAnchor>
  <xdr:absoluteAnchor>
    <xdr:pos x="5207000" y="609600"/>
    <xdr:ext cx="1828800" cy="215900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SL_용도군">
              <a:extLst>
                <a:ext uri="{FF2B5EF4-FFF2-40B4-BE49-F238E27FC236}">
                  <a16:creationId xmlns:a16="http://schemas.microsoft.com/office/drawing/2014/main" id="{04138FD6-E254-7873-34BA-8E6A1247CE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용도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67400" y="678180"/>
              <a:ext cx="1828800" cy="2924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absoluteAnchor>
  <xdr:absoluteAnchor>
    <xdr:pos x="7340600" y="609600"/>
    <xdr:ext cx="1828800" cy="215900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SL_청구액규모대">
              <a:extLst>
                <a:ext uri="{FF2B5EF4-FFF2-40B4-BE49-F238E27FC236}">
                  <a16:creationId xmlns:a16="http://schemas.microsoft.com/office/drawing/2014/main" id="{813A64DA-58E0-B159-7596-0F9565EB25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청구액규모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5400" y="678180"/>
              <a:ext cx="1828800" cy="2924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absoluteAnchor>
  <xdr:absoluteAnchor>
    <xdr:pos x="13609320" y="571500"/>
    <xdr:ext cx="1828800" cy="215900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SL_시군구">
              <a:extLst>
                <a:ext uri="{FF2B5EF4-FFF2-40B4-BE49-F238E27FC236}">
                  <a16:creationId xmlns:a16="http://schemas.microsoft.com/office/drawing/2014/main" id="{69C19B7A-D0C2-1DD0-4E93-B8FB05176A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시군구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09320" y="571500"/>
              <a:ext cx="1828800" cy="215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absoluteAnchor>
  <xdr:absoluteAnchor>
    <xdr:pos x="16586200" y="609600"/>
    <xdr:ext cx="1828800" cy="215900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SL_시도">
              <a:extLst>
                <a:ext uri="{FF2B5EF4-FFF2-40B4-BE49-F238E27FC236}">
                  <a16:creationId xmlns:a16="http://schemas.microsoft.com/office/drawing/2014/main" id="{7B1E2A88-176A-DBE9-3557-D51E9C236D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시도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88000" y="678180"/>
              <a:ext cx="1828800" cy="2924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absoluteAnchor>
  <xdr:absoluteAnchor>
    <xdr:pos x="19189700" y="609600"/>
    <xdr:ext cx="1828800" cy="215900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SL_최근7일">
              <a:extLst>
                <a:ext uri="{FF2B5EF4-FFF2-40B4-BE49-F238E27FC236}">
                  <a16:creationId xmlns:a16="http://schemas.microsoft.com/office/drawing/2014/main" id="{3998F2F9-8A49-E076-5964-A122A51DF6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최근7일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83600" y="678180"/>
              <a:ext cx="1828800" cy="2924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absoluteAnchor>
  <xdr:absoluteAnchor>
    <xdr:pos x="20421600" y="609600"/>
    <xdr:ext cx="1828800" cy="215900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8" name="SL_신규">
              <a:extLst>
                <a:ext uri="{FF2B5EF4-FFF2-40B4-BE49-F238E27FC236}">
                  <a16:creationId xmlns:a16="http://schemas.microsoft.com/office/drawing/2014/main" id="{9952AF6F-F74B-1A2E-19FE-279382047A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신규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55200" y="678180"/>
              <a:ext cx="1828800" cy="2924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CH_채권자">
          <a:extLst>
            <a:ext uri="{FF2B5EF4-FFF2-40B4-BE49-F238E27FC236}">
              <a16:creationId xmlns:a16="http://schemas.microsoft.com/office/drawing/2014/main" id="{47DC5B89-6640-276B-D499-539B109B2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3" name="CH_시군구">
          <a:extLst>
            <a:ext uri="{FF2B5EF4-FFF2-40B4-BE49-F238E27FC236}">
              <a16:creationId xmlns:a16="http://schemas.microsoft.com/office/drawing/2014/main" id="{AE6ED390-4100-7074-1B5C-E1559D9C1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G KIM" refreshedDate="46246.877076273151" createdVersion="8" refreshedVersion="8" minRefreshableVersion="3" recordCount="32" xr:uid="{CB6B35A5-C31A-4E35-85BF-1A6F67A41CF5}">
  <cacheSource type="worksheet">
    <worksheetSource name="TBL_LENDER"/>
  </cacheSource>
  <cacheFields count="24">
    <cacheField name="연번" numFmtId="1">
      <sharedItems containsSemiMixedTypes="0" containsString="0" containsNumber="1" containsInteger="1" minValue="1" maxValue="32"/>
    </cacheField>
    <cacheField name="채권자 구분" numFmtId="0">
      <sharedItems count="4">
        <s v="신협"/>
        <s v="저축은행"/>
        <s v="수협"/>
        <s v="새마을금고"/>
      </sharedItems>
    </cacheField>
    <cacheField name="채권자" numFmtId="0">
      <sharedItems/>
    </cacheField>
    <cacheField name="시도" numFmtId="0">
      <sharedItems count="2">
        <s v="서울"/>
        <s v="경기"/>
      </sharedItems>
    </cacheField>
    <cacheField name="시·군·구" numFmtId="0">
      <sharedItems/>
    </cacheField>
    <cacheField name="법원" numFmtId="0">
      <sharedItems/>
    </cacheField>
    <cacheField name="담당계" numFmtId="0">
      <sharedItems/>
    </cacheField>
    <cacheField name="사건번호" numFmtId="0">
      <sharedItems/>
    </cacheField>
    <cacheField name="경매구분" numFmtId="0">
      <sharedItems/>
    </cacheField>
    <cacheField name="용도" numFmtId="0">
      <sharedItems/>
    </cacheField>
    <cacheField name="용도군" numFmtId="0">
      <sharedItems/>
    </cacheField>
    <cacheField name="물건 소재지" numFmtId="0">
      <sharedItems/>
    </cacheField>
    <cacheField name="채무자" numFmtId="0">
      <sharedItems/>
    </cacheField>
    <cacheField name="소유자" numFmtId="0">
      <sharedItems/>
    </cacheField>
    <cacheField name="청구액(원)" numFmtId="3">
      <sharedItems containsSemiMixedTypes="0" containsString="0" containsNumber="1" containsInteger="1" minValue="34350000" maxValue="6134380000"/>
    </cacheField>
    <cacheField name="감정가(원)" numFmtId="3">
      <sharedItems containsSemiMixedTypes="0" containsString="0" containsNumber="1" containsInteger="1" minValue="31610000" maxValue="13701360000"/>
    </cacheField>
    <cacheField name="청구액 규모대" numFmtId="0">
      <sharedItems/>
    </cacheField>
    <cacheField name="경매개시일" numFmtId="177">
      <sharedItems containsSemiMixedTypes="0" containsNonDate="0" containsDate="1" containsString="0" minDate="2026-07-13T00:00:00" maxDate="2026-08-05T00:00:00"/>
    </cacheField>
    <cacheField name="경과일" numFmtId="1">
      <sharedItems containsSemiMixedTypes="0" containsString="0" containsNumber="1" containsInteger="1" minValue="7" maxValue="29"/>
    </cacheField>
    <cacheField name="최근 7일" numFmtId="0">
      <sharedItems/>
    </cacheField>
    <cacheField name="신규" numFmtId="0">
      <sharedItems/>
    </cacheField>
    <cacheField name="배당요구종기" numFmtId="177">
      <sharedItems containsSemiMixedTypes="0" containsNonDate="0" containsDate="1" containsString="0" minDate="2026-09-28T00:00:00" maxDate="2026-11-04T00:00:00"/>
    </cacheField>
    <cacheField name="상태" numFmtId="0">
      <sharedItems/>
    </cacheField>
    <cacheField name="수집일" numFmtId="177">
      <sharedItems containsSemiMixedTypes="0" containsNonDate="0" containsDate="1" containsString="0" minDate="2026-08-11T00:00:00" maxDate="2026-08-1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G KIM" refreshedDate="46246.877161226854" createdVersion="8" refreshedVersion="8" minRefreshableVersion="3" recordCount="32" xr:uid="{783526F2-F17C-47A1-8C76-B5CCB8EA5F17}">
  <cacheSource type="worksheet">
    <worksheetSource name="TBL_LENDER"/>
  </cacheSource>
  <cacheFields count="24">
    <cacheField name="연번" numFmtId="1">
      <sharedItems containsSemiMixedTypes="0" containsString="0" containsNumber="1" containsInteger="1" minValue="1" maxValue="32"/>
    </cacheField>
    <cacheField name="채권자 구분" numFmtId="0">
      <sharedItems count="4">
        <s v="신협"/>
        <s v="저축은행"/>
        <s v="수협"/>
        <s v="새마을금고"/>
      </sharedItems>
    </cacheField>
    <cacheField name="채권자" numFmtId="0">
      <sharedItems/>
    </cacheField>
    <cacheField name="시도" numFmtId="0">
      <sharedItems/>
    </cacheField>
    <cacheField name="시·군·구" numFmtId="0">
      <sharedItems/>
    </cacheField>
    <cacheField name="법원" numFmtId="0">
      <sharedItems/>
    </cacheField>
    <cacheField name="담당계" numFmtId="0">
      <sharedItems/>
    </cacheField>
    <cacheField name="사건번호" numFmtId="0">
      <sharedItems/>
    </cacheField>
    <cacheField name="경매구분" numFmtId="0">
      <sharedItems/>
    </cacheField>
    <cacheField name="용도" numFmtId="0">
      <sharedItems/>
    </cacheField>
    <cacheField name="용도군" numFmtId="0">
      <sharedItems/>
    </cacheField>
    <cacheField name="물건 소재지" numFmtId="0">
      <sharedItems/>
    </cacheField>
    <cacheField name="채무자" numFmtId="0">
      <sharedItems/>
    </cacheField>
    <cacheField name="소유자" numFmtId="0">
      <sharedItems/>
    </cacheField>
    <cacheField name="청구액(원)" numFmtId="3">
      <sharedItems containsSemiMixedTypes="0" containsString="0" containsNumber="1" containsInteger="1" minValue="34350000" maxValue="6134380000"/>
    </cacheField>
    <cacheField name="감정가(원)" numFmtId="3">
      <sharedItems containsSemiMixedTypes="0" containsString="0" containsNumber="1" containsInteger="1" minValue="31610000" maxValue="13701360000"/>
    </cacheField>
    <cacheField name="청구액 규모대" numFmtId="0">
      <sharedItems count="6">
        <s v="① 100,000,000원 미만"/>
        <s v="② 100,000,000~300,000,000원"/>
        <s v="③ 300,000,000~500,000,000원"/>
        <s v="④ 500,000,000~1,000,000,000원"/>
        <s v="⑤ 1,000,000,000~3,000,000,000원"/>
        <s v="⑥ 3,000,000,000원 이상"/>
      </sharedItems>
    </cacheField>
    <cacheField name="경매개시일" numFmtId="177">
      <sharedItems containsSemiMixedTypes="0" containsNonDate="0" containsDate="1" containsString="0" minDate="2026-07-13T00:00:00" maxDate="2026-08-05T00:00:00"/>
    </cacheField>
    <cacheField name="경과일" numFmtId="1">
      <sharedItems containsSemiMixedTypes="0" containsString="0" containsNumber="1" containsInteger="1" minValue="7" maxValue="29"/>
    </cacheField>
    <cacheField name="최근 7일" numFmtId="0">
      <sharedItems/>
    </cacheField>
    <cacheField name="신규" numFmtId="0">
      <sharedItems/>
    </cacheField>
    <cacheField name="배당요구종기" numFmtId="177">
      <sharedItems containsSemiMixedTypes="0" containsNonDate="0" containsDate="1" containsString="0" minDate="2026-09-28T00:00:00" maxDate="2026-11-04T00:00:00"/>
    </cacheField>
    <cacheField name="상태" numFmtId="0">
      <sharedItems/>
    </cacheField>
    <cacheField name="수집일" numFmtId="177">
      <sharedItems containsSemiMixedTypes="0" containsNonDate="0" containsDate="1" containsString="0" minDate="2026-08-11T00:00:00" maxDate="2026-08-1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G KIM" refreshedDate="46246.877236342596" createdVersion="8" refreshedVersion="8" minRefreshableVersion="3" recordCount="32" xr:uid="{D554E2AE-77E1-4CC5-A18A-9F97BE7F922F}">
  <cacheSource type="worksheet">
    <worksheetSource name="TBL_LENDER"/>
  </cacheSource>
  <cacheFields count="24">
    <cacheField name="연번" numFmtId="1">
      <sharedItems containsSemiMixedTypes="0" containsString="0" containsNumber="1" containsInteger="1" minValue="1" maxValue="32"/>
    </cacheField>
    <cacheField name="채권자 구분" numFmtId="0">
      <sharedItems/>
    </cacheField>
    <cacheField name="채권자" numFmtId="0">
      <sharedItems/>
    </cacheField>
    <cacheField name="시도" numFmtId="0">
      <sharedItems/>
    </cacheField>
    <cacheField name="시·군·구" numFmtId="0">
      <sharedItems count="47">
        <s v="관악구"/>
        <s v="용산구"/>
        <s v="강남구"/>
        <s v="송파구"/>
        <s v="광진구"/>
        <s v="금천구"/>
        <s v="강서구"/>
        <s v="은평구"/>
        <s v="도봉구"/>
        <s v="영등포구"/>
        <s v="안산시"/>
        <s v="양천구"/>
        <s v="강북구"/>
        <s v="서대문구"/>
        <s v="마포구"/>
        <s v="성동구"/>
        <s v="동대문구"/>
        <s v="중랑구"/>
        <s v="성북구"/>
        <s v="노원구"/>
        <s v="구로구"/>
        <s v="김포시"/>
        <s v="용인시"/>
        <s v="고양시"/>
        <s v="화성시" u="1"/>
        <s v="연천군" u="1"/>
        <s v="파주시" u="1"/>
        <s v="하남시" u="1"/>
        <s v="가평군" u="1"/>
        <s v="성남시" u="1"/>
        <s v="시흥시" u="1"/>
        <s v="평택시" u="1"/>
        <s v="수원시" u="1"/>
        <s v="양평군" u="1"/>
        <s v="군포시" u="1"/>
        <s v="광주시" u="1"/>
        <s v="양주시" u="1"/>
        <s v="의정부시" u="1"/>
        <s v="남양주시" u="1"/>
        <s v="이천시" u="1"/>
        <s v="포천시" u="1"/>
        <s v="의왕시" u="1"/>
        <s v="부천시" u="1"/>
        <s v="오산시" u="1"/>
        <s v="광명시" u="1"/>
        <s v="안성시" u="1"/>
        <s v="여주시" u="1"/>
      </sharedItems>
    </cacheField>
    <cacheField name="법원" numFmtId="0">
      <sharedItems/>
    </cacheField>
    <cacheField name="담당계" numFmtId="0">
      <sharedItems/>
    </cacheField>
    <cacheField name="사건번호" numFmtId="0">
      <sharedItems/>
    </cacheField>
    <cacheField name="경매구분" numFmtId="0">
      <sharedItems/>
    </cacheField>
    <cacheField name="용도" numFmtId="0">
      <sharedItems/>
    </cacheField>
    <cacheField name="용도군" numFmtId="0">
      <sharedItems/>
    </cacheField>
    <cacheField name="물건 소재지" numFmtId="0">
      <sharedItems/>
    </cacheField>
    <cacheField name="채무자" numFmtId="0">
      <sharedItems/>
    </cacheField>
    <cacheField name="소유자" numFmtId="0">
      <sharedItems/>
    </cacheField>
    <cacheField name="청구액(원)" numFmtId="3">
      <sharedItems containsSemiMixedTypes="0" containsString="0" containsNumber="1" containsInteger="1" minValue="34350000" maxValue="6134380000"/>
    </cacheField>
    <cacheField name="감정가(원)" numFmtId="3">
      <sharedItems containsSemiMixedTypes="0" containsString="0" containsNumber="1" containsInteger="1" minValue="31610000" maxValue="13701360000"/>
    </cacheField>
    <cacheField name="청구액 규모대" numFmtId="0">
      <sharedItems/>
    </cacheField>
    <cacheField name="경매개시일" numFmtId="177">
      <sharedItems containsSemiMixedTypes="0" containsNonDate="0" containsDate="1" containsString="0" minDate="2026-07-13T00:00:00" maxDate="2026-08-05T00:00:00"/>
    </cacheField>
    <cacheField name="경과일" numFmtId="1">
      <sharedItems containsSemiMixedTypes="0" containsString="0" containsNumber="1" containsInteger="1" minValue="7" maxValue="29"/>
    </cacheField>
    <cacheField name="최근 7일" numFmtId="0">
      <sharedItems/>
    </cacheField>
    <cacheField name="신규" numFmtId="0">
      <sharedItems/>
    </cacheField>
    <cacheField name="배당요구종기" numFmtId="177">
      <sharedItems containsSemiMixedTypes="0" containsNonDate="0" containsDate="1" containsString="0" minDate="2026-09-28T00:00:00" maxDate="2026-11-04T00:00:00"/>
    </cacheField>
    <cacheField name="상태" numFmtId="0">
      <sharedItems/>
    </cacheField>
    <cacheField name="수집일" numFmtId="177">
      <sharedItems containsSemiMixedTypes="0" containsNonDate="0" containsDate="1" containsString="0" minDate="2026-08-11T00:00:00" maxDate="2026-08-1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x v="0"/>
    <s v="신협 1지점"/>
    <x v="0"/>
    <s v="관악구"/>
    <s v="중앙"/>
    <s v="10계"/>
    <s v="2026-00001"/>
    <s v="임의경매"/>
    <s v="근린시설"/>
    <s v="상업·업무"/>
    <s v="서울 관악구 봉천동"/>
    <s v="홍○○"/>
    <s v="홍○○"/>
    <n v="34350000"/>
    <n v="31610000"/>
    <s v="① 100,000,000원 미만"/>
    <d v="2026-07-21T00:00:00"/>
    <n v="21"/>
    <s v="해당없음"/>
    <s v="신규"/>
    <d v="2026-10-01T00:00:00"/>
    <s v="대기"/>
    <d v="2026-08-11T00:00:00"/>
  </r>
  <r>
    <n v="2"/>
    <x v="0"/>
    <s v="신협 2지점"/>
    <x v="0"/>
    <s v="용산구"/>
    <s v="서부"/>
    <s v="1계"/>
    <s v="2026-00002"/>
    <s v="임의경매"/>
    <s v="상가"/>
    <s v="상업·업무"/>
    <s v="서울 용산구 원효로"/>
    <s v="홍○○"/>
    <s v="홍○○"/>
    <n v="247220000"/>
    <n v="562830000"/>
    <s v="② 100,000,000~300,000,000원"/>
    <d v="2026-07-22T00:00:00"/>
    <n v="20"/>
    <s v="해당없음"/>
    <s v="신규"/>
    <d v="2026-10-02T00:00:00"/>
    <s v="취하"/>
    <d v="2026-08-11T00:00:00"/>
  </r>
  <r>
    <n v="3"/>
    <x v="0"/>
    <s v="신협 3지점"/>
    <x v="0"/>
    <s v="강남구"/>
    <s v="중앙"/>
    <s v="9계"/>
    <s v="2026-00003"/>
    <s v="임의경매"/>
    <s v="오피스텔"/>
    <s v="오피스텔"/>
    <s v="서울 강남구 역삼동"/>
    <s v="홍○○"/>
    <s v="홍○○"/>
    <n v="407370000"/>
    <n v="502200000"/>
    <s v="③ 300,000,000~500,000,000원"/>
    <d v="2026-07-14T00:00:00"/>
    <n v="28"/>
    <s v="해당없음"/>
    <s v="신규"/>
    <d v="2026-10-08T00:00:00"/>
    <s v="대기"/>
    <d v="2026-08-11T00:00:00"/>
  </r>
  <r>
    <n v="4"/>
    <x v="0"/>
    <s v="신협 4지점"/>
    <x v="0"/>
    <s v="송파구"/>
    <s v="동부"/>
    <s v="3계"/>
    <s v="2026-00004"/>
    <s v="임의경매"/>
    <s v="아파트"/>
    <s v="주거"/>
    <s v="서울 송파구 가락동"/>
    <s v="홍○○"/>
    <s v="홍○○"/>
    <n v="835580000"/>
    <n v="942090000"/>
    <s v="④ 500,000,000~1,000,000,000원"/>
    <d v="2026-07-22T00:00:00"/>
    <n v="20"/>
    <s v="해당없음"/>
    <s v="신규"/>
    <d v="2026-10-12T00:00:00"/>
    <s v="대기"/>
    <d v="2026-08-11T00:00:00"/>
  </r>
  <r>
    <n v="5"/>
    <x v="0"/>
    <s v="신협 5지점"/>
    <x v="0"/>
    <s v="광진구"/>
    <s v="동부"/>
    <s v="1계"/>
    <s v="2026-00005"/>
    <s v="임의경매"/>
    <s v="근린시설"/>
    <s v="상업·업무"/>
    <s v="서울 광진구 중곡동"/>
    <s v="홍○○"/>
    <s v="홍○○"/>
    <n v="2877450000"/>
    <n v="4707120000"/>
    <s v="⑤ 1,000,000,000~3,000,000,000원"/>
    <d v="2026-07-28T00:00:00"/>
    <n v="14"/>
    <s v="해당없음"/>
    <s v="신규"/>
    <d v="2026-10-12T00:00:00"/>
    <s v="대기"/>
    <d v="2026-08-11T00:00:00"/>
  </r>
  <r>
    <n v="6"/>
    <x v="0"/>
    <s v="신협 6지점"/>
    <x v="0"/>
    <s v="금천구"/>
    <s v="남부"/>
    <s v="9계"/>
    <s v="2026-00006"/>
    <s v="임의경매"/>
    <s v="근린주택"/>
    <s v="주거"/>
    <s v="서울 금천구 독산동"/>
    <s v="홍○○"/>
    <s v="홍○○"/>
    <n v="4975500000"/>
    <n v="5537750000"/>
    <s v="⑥ 3,000,000,000원 이상"/>
    <d v="2026-07-22T00:00:00"/>
    <n v="20"/>
    <s v="해당없음"/>
    <s v="신규"/>
    <d v="2026-10-21T00:00:00"/>
    <s v="대기"/>
    <d v="2026-08-11T00:00:00"/>
  </r>
  <r>
    <n v="7"/>
    <x v="0"/>
    <s v="신협 7지점"/>
    <x v="0"/>
    <s v="강서구"/>
    <s v="남부"/>
    <s v="10계"/>
    <s v="2026-00007"/>
    <s v="임의경매"/>
    <s v="상가"/>
    <s v="상업·업무"/>
    <s v="서울 강서구 마곡동"/>
    <s v="홍○○"/>
    <s v="홍○○"/>
    <n v="79010000"/>
    <n v="92000000"/>
    <s v="① 100,000,000원 미만"/>
    <d v="2026-08-04T00:00:00"/>
    <n v="7"/>
    <s v="해당"/>
    <s v="신규"/>
    <d v="2026-11-03T00:00:00"/>
    <s v="대기"/>
    <d v="2026-08-11T00:00:00"/>
  </r>
  <r>
    <n v="8"/>
    <x v="0"/>
    <s v="신협 8지점"/>
    <x v="0"/>
    <s v="송파구"/>
    <s v="동부"/>
    <s v="4계"/>
    <s v="2026-00008"/>
    <s v="임의경매"/>
    <s v="상가"/>
    <s v="상업·업무"/>
    <s v="서울 송파구 장지동"/>
    <s v="홍○○"/>
    <s v="홍○○"/>
    <n v="206960000"/>
    <n v="264530000"/>
    <s v="② 100,000,000~300,000,000원"/>
    <d v="2026-07-30T00:00:00"/>
    <n v="12"/>
    <s v="해당없음"/>
    <s v="신규"/>
    <d v="2026-10-14T00:00:00"/>
    <s v="대기"/>
    <d v="2026-08-11T00:00:00"/>
  </r>
  <r>
    <n v="9"/>
    <x v="1"/>
    <s v="저축은행 1지점"/>
    <x v="0"/>
    <s v="관악구"/>
    <s v="중앙"/>
    <s v="21계"/>
    <s v="2026-00009"/>
    <s v="임의경매"/>
    <s v="근린주택"/>
    <s v="주거"/>
    <s v="서울 관악구 남현동"/>
    <s v="홍○○"/>
    <s v="홍○○"/>
    <n v="361040000"/>
    <n v="800160000"/>
    <s v="③ 300,000,000~500,000,000원"/>
    <d v="2026-07-14T00:00:00"/>
    <n v="28"/>
    <s v="해당없음"/>
    <s v="신규"/>
    <d v="2026-10-16T00:00:00"/>
    <s v="대기"/>
    <d v="2026-08-11T00:00:00"/>
  </r>
  <r>
    <n v="10"/>
    <x v="1"/>
    <s v="저축은행 2지점"/>
    <x v="0"/>
    <s v="강서구"/>
    <s v="남부"/>
    <s v="5계"/>
    <s v="2026-00010"/>
    <s v="임의경매"/>
    <s v="상가"/>
    <s v="상업·업무"/>
    <s v="서울 강서구 방화동"/>
    <s v="홍○○"/>
    <s v="홍○○"/>
    <n v="879400000"/>
    <n v="987510000"/>
    <s v="④ 500,000,000~1,000,000,000원"/>
    <d v="2026-07-14T00:00:00"/>
    <n v="28"/>
    <s v="해당없음"/>
    <s v="신규"/>
    <d v="2026-10-13T00:00:00"/>
    <s v="대기"/>
    <d v="2026-08-11T00:00:00"/>
  </r>
  <r>
    <n v="11"/>
    <x v="1"/>
    <s v="저축은행 3지점"/>
    <x v="0"/>
    <s v="은평구"/>
    <s v="서부"/>
    <s v="6계"/>
    <s v="2026-00011"/>
    <s v="임의경매"/>
    <s v="대지"/>
    <s v="토지"/>
    <s v="서울 은평구 불광동"/>
    <s v="홍○○"/>
    <s v="홍○○"/>
    <n v="2670750000"/>
    <n v="4690640000"/>
    <s v="⑤ 1,000,000,000~3,000,000,000원"/>
    <d v="2026-07-20T00:00:00"/>
    <n v="22"/>
    <s v="해당없음"/>
    <s v="신규"/>
    <d v="2026-10-02T00:00:00"/>
    <s v="대기"/>
    <d v="2026-08-11T00:00:00"/>
  </r>
  <r>
    <n v="12"/>
    <x v="1"/>
    <s v="저축은행 4지점"/>
    <x v="0"/>
    <s v="도봉구"/>
    <s v="북부"/>
    <s v="3계"/>
    <s v="2026-00012"/>
    <s v="임의경매"/>
    <s v="오피스텔"/>
    <s v="오피스텔"/>
    <s v="서울 도봉구 창동"/>
    <s v="홍○○"/>
    <s v="홍○○"/>
    <n v="3434740000"/>
    <n v="5697680000"/>
    <s v="⑥ 3,000,000,000원 이상"/>
    <d v="2026-07-24T00:00:00"/>
    <n v="18"/>
    <s v="해당없음"/>
    <s v="신규"/>
    <d v="2026-10-12T00:00:00"/>
    <s v="대기"/>
    <d v="2026-08-11T00:00:00"/>
  </r>
  <r>
    <n v="13"/>
    <x v="1"/>
    <s v="저축은행 5지점"/>
    <x v="0"/>
    <s v="영등포구"/>
    <s v="남부"/>
    <s v="12계"/>
    <s v="2026-00013"/>
    <s v="임의경매"/>
    <s v="다세대"/>
    <s v="주거"/>
    <s v="서울 영등포구 당산동"/>
    <s v="홍○○"/>
    <s v="홍○○"/>
    <n v="48880000"/>
    <n v="69080000"/>
    <s v="① 100,000,000원 미만"/>
    <d v="2026-07-27T00:00:00"/>
    <n v="15"/>
    <s v="해당없음"/>
    <s v="신규"/>
    <d v="2026-10-27T00:00:00"/>
    <s v="대기"/>
    <d v="2026-08-11T00:00:00"/>
  </r>
  <r>
    <n v="14"/>
    <x v="1"/>
    <s v="저축은행 6지점"/>
    <x v="0"/>
    <s v="광진구"/>
    <s v="동부"/>
    <s v="5계"/>
    <s v="2026-00014"/>
    <s v="임의경매"/>
    <s v="다세대(생활주택)"/>
    <s v="주거"/>
    <s v="서울 광진구 중곡동"/>
    <s v="홍○○"/>
    <s v="홍○○"/>
    <n v="261540000"/>
    <n v="404040000"/>
    <s v="② 100,000,000~300,000,000원"/>
    <d v="2026-07-22T00:00:00"/>
    <n v="20"/>
    <s v="해당없음"/>
    <s v="신규"/>
    <d v="2026-10-12T00:00:00"/>
    <s v="대기"/>
    <d v="2026-08-11T00:00:00"/>
  </r>
  <r>
    <n v="15"/>
    <x v="1"/>
    <s v="저축은행 7지점"/>
    <x v="0"/>
    <s v="금천구"/>
    <s v="남부"/>
    <s v="2계"/>
    <s v="2026-00015"/>
    <s v="임의경매"/>
    <s v="오피스텔"/>
    <s v="오피스텔"/>
    <s v="서울 금천구 가산동"/>
    <s v="홍○○"/>
    <s v="홍○○"/>
    <n v="359640000"/>
    <n v="697460000"/>
    <s v="③ 300,000,000~500,000,000원"/>
    <d v="2026-07-20T00:00:00"/>
    <n v="22"/>
    <s v="해당없음"/>
    <s v="신규"/>
    <d v="2026-10-20T00:00:00"/>
    <s v="대기"/>
    <d v="2026-08-11T00:00:00"/>
  </r>
  <r>
    <n v="16"/>
    <x v="1"/>
    <s v="저축은행 8지점"/>
    <x v="1"/>
    <s v="안산시"/>
    <s v="안산"/>
    <s v="3계"/>
    <s v="2026-00016"/>
    <s v="임의경매"/>
    <s v="제조업소"/>
    <s v="기타"/>
    <s v="경기 안산시 단원구"/>
    <s v="홍○○"/>
    <s v="홍○○"/>
    <n v="737180000"/>
    <n v="756230000"/>
    <s v="④ 500,000,000~1,000,000,000원"/>
    <d v="2026-07-14T00:00:00"/>
    <n v="28"/>
    <s v="해당없음"/>
    <s v="신규"/>
    <d v="2026-09-29T00:00:00"/>
    <s v="대기"/>
    <d v="2026-08-11T00:00:00"/>
  </r>
  <r>
    <n v="17"/>
    <x v="2"/>
    <s v="수협 1지점"/>
    <x v="0"/>
    <s v="양천구"/>
    <s v="남부"/>
    <s v="9계"/>
    <s v="2026-00017"/>
    <s v="강제경매"/>
    <s v="아파트"/>
    <s v="주거"/>
    <s v="서울 양천구 목동"/>
    <s v="홍○○"/>
    <s v="홍○○"/>
    <n v="1395580000"/>
    <n v="2482780000"/>
    <s v="⑤ 1,000,000,000~3,000,000,000원"/>
    <d v="2026-07-27T00:00:00"/>
    <n v="15"/>
    <s v="해당없음"/>
    <s v="신규"/>
    <d v="2026-10-27T00:00:00"/>
    <s v="대기"/>
    <d v="2026-08-11T00:00:00"/>
  </r>
  <r>
    <n v="18"/>
    <x v="2"/>
    <s v="수협 2지점"/>
    <x v="0"/>
    <s v="강북구"/>
    <s v="북부"/>
    <s v="3계"/>
    <s v="2026-00018"/>
    <s v="임의경매"/>
    <s v="다세대"/>
    <s v="주거"/>
    <s v="서울 강북구 우이동"/>
    <s v="홍○○"/>
    <s v="홍○○"/>
    <n v="6134380000"/>
    <n v="13701360000"/>
    <s v="⑥ 3,000,000,000원 이상"/>
    <d v="2026-07-24T00:00:00"/>
    <n v="18"/>
    <s v="해당없음"/>
    <s v="신규"/>
    <d v="2026-10-12T00:00:00"/>
    <s v="대기"/>
    <d v="2026-08-11T00:00:00"/>
  </r>
  <r>
    <n v="19"/>
    <x v="2"/>
    <s v="수협 3지점"/>
    <x v="0"/>
    <s v="서대문구"/>
    <s v="서부"/>
    <s v="6계"/>
    <s v="2026-00019"/>
    <s v="임의경매"/>
    <s v="다세대"/>
    <s v="주거"/>
    <s v="서울 서대문구 홍은동"/>
    <s v="홍○○"/>
    <s v="홍○○"/>
    <n v="35040000"/>
    <n v="90400000"/>
    <s v="① 100,000,000원 미만"/>
    <d v="2026-07-13T00:00:00"/>
    <n v="29"/>
    <s v="해당없음"/>
    <s v="신규"/>
    <d v="2026-09-28T00:00:00"/>
    <s v="대기"/>
    <d v="2026-08-11T00:00:00"/>
  </r>
  <r>
    <n v="20"/>
    <x v="2"/>
    <s v="수협 4지점"/>
    <x v="0"/>
    <s v="서대문구"/>
    <s v="서부"/>
    <s v="8계"/>
    <s v="2026-00020"/>
    <s v="임의경매"/>
    <s v="아파트"/>
    <s v="주거"/>
    <s v="서울 서대문구 북가좌동"/>
    <s v="홍○○"/>
    <s v="홍○○"/>
    <n v="170240000"/>
    <n v="248840000"/>
    <s v="② 100,000,000~300,000,000원"/>
    <d v="2026-07-23T00:00:00"/>
    <n v="19"/>
    <s v="해당없음"/>
    <s v="신규"/>
    <d v="2026-10-06T00:00:00"/>
    <s v="대기"/>
    <d v="2026-08-11T00:00:00"/>
  </r>
  <r>
    <n v="21"/>
    <x v="2"/>
    <s v="수협 5지점"/>
    <x v="0"/>
    <s v="마포구"/>
    <s v="서부"/>
    <s v="8계"/>
    <s v="2026-00021"/>
    <s v="임의경매"/>
    <s v="아파트"/>
    <s v="주거"/>
    <s v="서울 마포구 도화동"/>
    <s v="홍○○"/>
    <s v="홍○○"/>
    <n v="461080000"/>
    <n v="784190000"/>
    <s v="③ 300,000,000~500,000,000원"/>
    <d v="2026-07-30T00:00:00"/>
    <n v="12"/>
    <s v="해당없음"/>
    <s v="신규"/>
    <d v="2026-10-15T00:00:00"/>
    <s v="대기"/>
    <d v="2026-08-11T00:00:00"/>
  </r>
  <r>
    <n v="22"/>
    <x v="2"/>
    <s v="수협 6지점"/>
    <x v="0"/>
    <s v="성동구"/>
    <s v="동부"/>
    <s v="4계"/>
    <s v="2026-00022"/>
    <s v="임의경매"/>
    <s v="근린주택"/>
    <s v="주거"/>
    <s v="서울 성동구 금호동"/>
    <s v="홍○○"/>
    <s v="홍○○"/>
    <n v="763290000"/>
    <n v="1232600000"/>
    <s v="④ 500,000,000~1,000,000,000원"/>
    <d v="2026-07-15T00:00:00"/>
    <n v="27"/>
    <s v="해당없음"/>
    <s v="신규"/>
    <d v="2026-10-06T00:00:00"/>
    <s v="대기"/>
    <d v="2026-08-11T00:00:00"/>
  </r>
  <r>
    <n v="23"/>
    <x v="2"/>
    <s v="수협 7지점"/>
    <x v="0"/>
    <s v="동대문구"/>
    <s v="북부"/>
    <s v="5계"/>
    <s v="2026-00023"/>
    <s v="임의경매"/>
    <s v="근린주택"/>
    <s v="주거"/>
    <s v="서울 동대문구 제기동"/>
    <s v="홍○○"/>
    <s v="홍○○"/>
    <n v="1952280000"/>
    <n v="2856380000"/>
    <s v="⑤ 1,000,000,000~3,000,000,000원"/>
    <d v="2026-07-16T00:00:00"/>
    <n v="26"/>
    <s v="해당없음"/>
    <s v="신규"/>
    <d v="2026-09-29T00:00:00"/>
    <s v="대기"/>
    <d v="2026-08-11T00:00:00"/>
  </r>
  <r>
    <n v="24"/>
    <x v="2"/>
    <s v="수협 8지점"/>
    <x v="0"/>
    <s v="중랑구"/>
    <s v="북부"/>
    <s v="6계"/>
    <s v="2026-00024"/>
    <s v="임의경매"/>
    <s v="주택"/>
    <s v="주거"/>
    <s v="서울 중랑구 면목동"/>
    <s v="홍○○"/>
    <s v="홍○○"/>
    <n v="4834720000"/>
    <n v="11152400000"/>
    <s v="⑥ 3,000,000,000원 이상"/>
    <d v="2026-07-13T00:00:00"/>
    <n v="29"/>
    <s v="해당없음"/>
    <s v="신규"/>
    <d v="2026-09-28T00:00:00"/>
    <s v="정지"/>
    <d v="2026-08-11T00:00:00"/>
  </r>
  <r>
    <n v="25"/>
    <x v="3"/>
    <s v="새마을금고 1지점"/>
    <x v="0"/>
    <s v="성북구"/>
    <s v="북부"/>
    <s v="6계"/>
    <s v="2026-00025"/>
    <s v="임의경매"/>
    <s v="아파트"/>
    <s v="주거"/>
    <s v="서울 성북구 종암동"/>
    <s v="홍○○"/>
    <s v="홍○○"/>
    <n v="58220000"/>
    <n v="85830000"/>
    <s v="① 100,000,000원 미만"/>
    <d v="2026-07-23T00:00:00"/>
    <n v="19"/>
    <s v="해당없음"/>
    <s v="신규"/>
    <d v="2026-10-08T00:00:00"/>
    <s v="대기"/>
    <d v="2026-08-11T00:00:00"/>
  </r>
  <r>
    <n v="26"/>
    <x v="3"/>
    <s v="새마을금고 2지점"/>
    <x v="0"/>
    <s v="노원구"/>
    <s v="북부"/>
    <s v="9계"/>
    <s v="2026-00026"/>
    <s v="임의경매"/>
    <s v="아파트"/>
    <s v="주거"/>
    <s v="서울 노원구 상계동"/>
    <s v="홍○○"/>
    <s v="홍○○"/>
    <n v="138270000"/>
    <n v="317710000"/>
    <s v="② 100,000,000~300,000,000원"/>
    <d v="2026-07-23T00:00:00"/>
    <n v="19"/>
    <s v="해당없음"/>
    <s v="신규"/>
    <d v="2026-10-08T00:00:00"/>
    <s v="대기"/>
    <d v="2026-08-11T00:00:00"/>
  </r>
  <r>
    <n v="27"/>
    <x v="3"/>
    <s v="새마을금고 3지점"/>
    <x v="0"/>
    <s v="금천구"/>
    <s v="남부"/>
    <s v="3계"/>
    <s v="2026-00027"/>
    <s v="임의경매"/>
    <s v="아파트"/>
    <s v="주거"/>
    <s v="서울 금천구 시흥동"/>
    <s v="홍○○"/>
    <s v="홍○○"/>
    <n v="481950000"/>
    <n v="838510000"/>
    <s v="③ 300,000,000~500,000,000원"/>
    <d v="2026-07-20T00:00:00"/>
    <n v="22"/>
    <s v="해당없음"/>
    <s v="신규"/>
    <d v="2026-10-20T00:00:00"/>
    <s v="대기"/>
    <d v="2026-08-11T00:00:00"/>
  </r>
  <r>
    <n v="28"/>
    <x v="3"/>
    <s v="새마을금고 4지점"/>
    <x v="0"/>
    <s v="구로구"/>
    <s v="남부"/>
    <s v="11계"/>
    <s v="2026-00028"/>
    <s v="강제경매"/>
    <s v="다가구주택"/>
    <s v="주거"/>
    <s v="서울 구로구 구로동"/>
    <s v="홍○○"/>
    <s v="홍○○"/>
    <n v="804090000"/>
    <n v="1190190000"/>
    <s v="④ 500,000,000~1,000,000,000원"/>
    <d v="2026-07-24T00:00:00"/>
    <n v="18"/>
    <s v="해당없음"/>
    <s v="신규"/>
    <d v="2026-10-28T00:00:00"/>
    <s v="대기"/>
    <d v="2026-08-11T00:00:00"/>
  </r>
  <r>
    <n v="29"/>
    <x v="3"/>
    <s v="새마을금고 5지점"/>
    <x v="0"/>
    <s v="은평구"/>
    <s v="서부"/>
    <s v="5계"/>
    <s v="2026-00029"/>
    <s v="강제경매"/>
    <s v="다세대"/>
    <s v="주거"/>
    <s v="서울 은평구 대조동"/>
    <s v="홍○○"/>
    <s v="홍○○"/>
    <n v="1592180000"/>
    <n v="2864660000"/>
    <s v="⑤ 1,000,000,000~3,000,000,000원"/>
    <d v="2026-07-16T00:00:00"/>
    <n v="26"/>
    <s v="해당없음"/>
    <s v="신규"/>
    <d v="2026-09-30T00:00:00"/>
    <s v="대기"/>
    <d v="2026-08-11T00:00:00"/>
  </r>
  <r>
    <n v="30"/>
    <x v="3"/>
    <s v="새마을금고 6지점"/>
    <x v="1"/>
    <s v="김포시"/>
    <s v="부천"/>
    <s v="4계"/>
    <s v="2026-00030"/>
    <s v="임의경매"/>
    <s v="점포(근린시설)"/>
    <s v="상업·업무"/>
    <s v="경기 김포시 걸포동"/>
    <s v="홍○○"/>
    <s v="홍○○"/>
    <n v="4505590000"/>
    <n v="6983310000"/>
    <s v="⑥ 3,000,000,000원 이상"/>
    <d v="2026-07-15T00:00:00"/>
    <n v="27"/>
    <s v="해당없음"/>
    <s v="신규"/>
    <d v="2026-09-29T00:00:00"/>
    <s v="대기"/>
    <d v="2026-08-11T00:00:00"/>
  </r>
  <r>
    <n v="31"/>
    <x v="3"/>
    <s v="새마을금고 7지점"/>
    <x v="1"/>
    <s v="용인시"/>
    <s v="수원"/>
    <s v="13계"/>
    <s v="2026-00031"/>
    <s v="임의경매"/>
    <s v="아파트"/>
    <s v="주거"/>
    <s v="경기 용인시 기흥구"/>
    <s v="홍○○"/>
    <s v="홍○○"/>
    <n v="81860000"/>
    <n v="116300000"/>
    <s v="① 100,000,000원 미만"/>
    <d v="2026-07-16T00:00:00"/>
    <n v="26"/>
    <s v="해당없음"/>
    <s v="신규"/>
    <d v="2026-09-30T00:00:00"/>
    <s v="취하"/>
    <d v="2026-08-11T00:00:00"/>
  </r>
  <r>
    <n v="32"/>
    <x v="3"/>
    <s v="새마을금고 8지점"/>
    <x v="1"/>
    <s v="고양시"/>
    <s v="고양"/>
    <s v="8계"/>
    <s v="2026-00032"/>
    <s v="임의경매"/>
    <s v="근린시설"/>
    <s v="상업·업무"/>
    <s v="경기 고양시 일산서구"/>
    <s v="홍○○"/>
    <s v="홍○○"/>
    <n v="206070000"/>
    <n v="229470000"/>
    <s v="② 100,000,000~300,000,000원"/>
    <d v="2026-07-16T00:00:00"/>
    <n v="26"/>
    <s v="해당없음"/>
    <s v="신규"/>
    <d v="2026-10-20T00:00:00"/>
    <s v="대기"/>
    <d v="2026-08-1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x v="0"/>
    <s v="신협 1지점"/>
    <s v="서울"/>
    <s v="관악구"/>
    <s v="중앙"/>
    <s v="10계"/>
    <s v="2026-00001"/>
    <s v="임의경매"/>
    <s v="근린시설"/>
    <s v="상업·업무"/>
    <s v="서울 관악구 봉천동"/>
    <s v="홍○○"/>
    <s v="홍○○"/>
    <n v="34350000"/>
    <n v="31610000"/>
    <x v="0"/>
    <d v="2026-07-21T00:00:00"/>
    <n v="21"/>
    <s v="해당없음"/>
    <s v="신규"/>
    <d v="2026-10-01T00:00:00"/>
    <s v="대기"/>
    <d v="2026-08-11T00:00:00"/>
  </r>
  <r>
    <n v="2"/>
    <x v="0"/>
    <s v="신협 2지점"/>
    <s v="서울"/>
    <s v="용산구"/>
    <s v="서부"/>
    <s v="1계"/>
    <s v="2026-00002"/>
    <s v="임의경매"/>
    <s v="상가"/>
    <s v="상업·업무"/>
    <s v="서울 용산구 원효로"/>
    <s v="홍○○"/>
    <s v="홍○○"/>
    <n v="247220000"/>
    <n v="562830000"/>
    <x v="1"/>
    <d v="2026-07-22T00:00:00"/>
    <n v="20"/>
    <s v="해당없음"/>
    <s v="신규"/>
    <d v="2026-10-02T00:00:00"/>
    <s v="취하"/>
    <d v="2026-08-11T00:00:00"/>
  </r>
  <r>
    <n v="3"/>
    <x v="0"/>
    <s v="신협 3지점"/>
    <s v="서울"/>
    <s v="강남구"/>
    <s v="중앙"/>
    <s v="9계"/>
    <s v="2026-00003"/>
    <s v="임의경매"/>
    <s v="오피스텔"/>
    <s v="오피스텔"/>
    <s v="서울 강남구 역삼동"/>
    <s v="홍○○"/>
    <s v="홍○○"/>
    <n v="407370000"/>
    <n v="502200000"/>
    <x v="2"/>
    <d v="2026-07-14T00:00:00"/>
    <n v="28"/>
    <s v="해당없음"/>
    <s v="신규"/>
    <d v="2026-10-08T00:00:00"/>
    <s v="대기"/>
    <d v="2026-08-11T00:00:00"/>
  </r>
  <r>
    <n v="4"/>
    <x v="0"/>
    <s v="신협 4지점"/>
    <s v="서울"/>
    <s v="송파구"/>
    <s v="동부"/>
    <s v="3계"/>
    <s v="2026-00004"/>
    <s v="임의경매"/>
    <s v="아파트"/>
    <s v="주거"/>
    <s v="서울 송파구 가락동"/>
    <s v="홍○○"/>
    <s v="홍○○"/>
    <n v="835580000"/>
    <n v="942090000"/>
    <x v="3"/>
    <d v="2026-07-22T00:00:00"/>
    <n v="20"/>
    <s v="해당없음"/>
    <s v="신규"/>
    <d v="2026-10-12T00:00:00"/>
    <s v="대기"/>
    <d v="2026-08-11T00:00:00"/>
  </r>
  <r>
    <n v="5"/>
    <x v="0"/>
    <s v="신협 5지점"/>
    <s v="서울"/>
    <s v="광진구"/>
    <s v="동부"/>
    <s v="1계"/>
    <s v="2026-00005"/>
    <s v="임의경매"/>
    <s v="근린시설"/>
    <s v="상업·업무"/>
    <s v="서울 광진구 중곡동"/>
    <s v="홍○○"/>
    <s v="홍○○"/>
    <n v="2877450000"/>
    <n v="4707120000"/>
    <x v="4"/>
    <d v="2026-07-28T00:00:00"/>
    <n v="14"/>
    <s v="해당없음"/>
    <s v="신규"/>
    <d v="2026-10-12T00:00:00"/>
    <s v="대기"/>
    <d v="2026-08-11T00:00:00"/>
  </r>
  <r>
    <n v="6"/>
    <x v="0"/>
    <s v="신협 6지점"/>
    <s v="서울"/>
    <s v="금천구"/>
    <s v="남부"/>
    <s v="9계"/>
    <s v="2026-00006"/>
    <s v="임의경매"/>
    <s v="근린주택"/>
    <s v="주거"/>
    <s v="서울 금천구 독산동"/>
    <s v="홍○○"/>
    <s v="홍○○"/>
    <n v="4975500000"/>
    <n v="5537750000"/>
    <x v="5"/>
    <d v="2026-07-22T00:00:00"/>
    <n v="20"/>
    <s v="해당없음"/>
    <s v="신규"/>
    <d v="2026-10-21T00:00:00"/>
    <s v="대기"/>
    <d v="2026-08-11T00:00:00"/>
  </r>
  <r>
    <n v="7"/>
    <x v="0"/>
    <s v="신협 7지점"/>
    <s v="서울"/>
    <s v="강서구"/>
    <s v="남부"/>
    <s v="10계"/>
    <s v="2026-00007"/>
    <s v="임의경매"/>
    <s v="상가"/>
    <s v="상업·업무"/>
    <s v="서울 강서구 마곡동"/>
    <s v="홍○○"/>
    <s v="홍○○"/>
    <n v="79010000"/>
    <n v="92000000"/>
    <x v="0"/>
    <d v="2026-08-04T00:00:00"/>
    <n v="7"/>
    <s v="해당"/>
    <s v="신규"/>
    <d v="2026-11-03T00:00:00"/>
    <s v="대기"/>
    <d v="2026-08-11T00:00:00"/>
  </r>
  <r>
    <n v="8"/>
    <x v="0"/>
    <s v="신협 8지점"/>
    <s v="서울"/>
    <s v="송파구"/>
    <s v="동부"/>
    <s v="4계"/>
    <s v="2026-00008"/>
    <s v="임의경매"/>
    <s v="상가"/>
    <s v="상업·업무"/>
    <s v="서울 송파구 장지동"/>
    <s v="홍○○"/>
    <s v="홍○○"/>
    <n v="206960000"/>
    <n v="264530000"/>
    <x v="1"/>
    <d v="2026-07-30T00:00:00"/>
    <n v="12"/>
    <s v="해당없음"/>
    <s v="신규"/>
    <d v="2026-10-14T00:00:00"/>
    <s v="대기"/>
    <d v="2026-08-11T00:00:00"/>
  </r>
  <r>
    <n v="9"/>
    <x v="1"/>
    <s v="저축은행 1지점"/>
    <s v="서울"/>
    <s v="관악구"/>
    <s v="중앙"/>
    <s v="21계"/>
    <s v="2026-00009"/>
    <s v="임의경매"/>
    <s v="근린주택"/>
    <s v="주거"/>
    <s v="서울 관악구 남현동"/>
    <s v="홍○○"/>
    <s v="홍○○"/>
    <n v="361040000"/>
    <n v="800160000"/>
    <x v="2"/>
    <d v="2026-07-14T00:00:00"/>
    <n v="28"/>
    <s v="해당없음"/>
    <s v="신규"/>
    <d v="2026-10-16T00:00:00"/>
    <s v="대기"/>
    <d v="2026-08-11T00:00:00"/>
  </r>
  <r>
    <n v="10"/>
    <x v="1"/>
    <s v="저축은행 2지점"/>
    <s v="서울"/>
    <s v="강서구"/>
    <s v="남부"/>
    <s v="5계"/>
    <s v="2026-00010"/>
    <s v="임의경매"/>
    <s v="상가"/>
    <s v="상업·업무"/>
    <s v="서울 강서구 방화동"/>
    <s v="홍○○"/>
    <s v="홍○○"/>
    <n v="879400000"/>
    <n v="987510000"/>
    <x v="3"/>
    <d v="2026-07-14T00:00:00"/>
    <n v="28"/>
    <s v="해당없음"/>
    <s v="신규"/>
    <d v="2026-10-13T00:00:00"/>
    <s v="대기"/>
    <d v="2026-08-11T00:00:00"/>
  </r>
  <r>
    <n v="11"/>
    <x v="1"/>
    <s v="저축은행 3지점"/>
    <s v="서울"/>
    <s v="은평구"/>
    <s v="서부"/>
    <s v="6계"/>
    <s v="2026-00011"/>
    <s v="임의경매"/>
    <s v="대지"/>
    <s v="토지"/>
    <s v="서울 은평구 불광동"/>
    <s v="홍○○"/>
    <s v="홍○○"/>
    <n v="2670750000"/>
    <n v="4690640000"/>
    <x v="4"/>
    <d v="2026-07-20T00:00:00"/>
    <n v="22"/>
    <s v="해당없음"/>
    <s v="신규"/>
    <d v="2026-10-02T00:00:00"/>
    <s v="대기"/>
    <d v="2026-08-11T00:00:00"/>
  </r>
  <r>
    <n v="12"/>
    <x v="1"/>
    <s v="저축은행 4지점"/>
    <s v="서울"/>
    <s v="도봉구"/>
    <s v="북부"/>
    <s v="3계"/>
    <s v="2026-00012"/>
    <s v="임의경매"/>
    <s v="오피스텔"/>
    <s v="오피스텔"/>
    <s v="서울 도봉구 창동"/>
    <s v="홍○○"/>
    <s v="홍○○"/>
    <n v="3434740000"/>
    <n v="5697680000"/>
    <x v="5"/>
    <d v="2026-07-24T00:00:00"/>
    <n v="18"/>
    <s v="해당없음"/>
    <s v="신규"/>
    <d v="2026-10-12T00:00:00"/>
    <s v="대기"/>
    <d v="2026-08-11T00:00:00"/>
  </r>
  <r>
    <n v="13"/>
    <x v="1"/>
    <s v="저축은행 5지점"/>
    <s v="서울"/>
    <s v="영등포구"/>
    <s v="남부"/>
    <s v="12계"/>
    <s v="2026-00013"/>
    <s v="임의경매"/>
    <s v="다세대"/>
    <s v="주거"/>
    <s v="서울 영등포구 당산동"/>
    <s v="홍○○"/>
    <s v="홍○○"/>
    <n v="48880000"/>
    <n v="69080000"/>
    <x v="0"/>
    <d v="2026-07-27T00:00:00"/>
    <n v="15"/>
    <s v="해당없음"/>
    <s v="신규"/>
    <d v="2026-10-27T00:00:00"/>
    <s v="대기"/>
    <d v="2026-08-11T00:00:00"/>
  </r>
  <r>
    <n v="14"/>
    <x v="1"/>
    <s v="저축은행 6지점"/>
    <s v="서울"/>
    <s v="광진구"/>
    <s v="동부"/>
    <s v="5계"/>
    <s v="2026-00014"/>
    <s v="임의경매"/>
    <s v="다세대(생활주택)"/>
    <s v="주거"/>
    <s v="서울 광진구 중곡동"/>
    <s v="홍○○"/>
    <s v="홍○○"/>
    <n v="261540000"/>
    <n v="404040000"/>
    <x v="1"/>
    <d v="2026-07-22T00:00:00"/>
    <n v="20"/>
    <s v="해당없음"/>
    <s v="신규"/>
    <d v="2026-10-12T00:00:00"/>
    <s v="대기"/>
    <d v="2026-08-11T00:00:00"/>
  </r>
  <r>
    <n v="15"/>
    <x v="1"/>
    <s v="저축은행 7지점"/>
    <s v="서울"/>
    <s v="금천구"/>
    <s v="남부"/>
    <s v="2계"/>
    <s v="2026-00015"/>
    <s v="임의경매"/>
    <s v="오피스텔"/>
    <s v="오피스텔"/>
    <s v="서울 금천구 가산동"/>
    <s v="홍○○"/>
    <s v="홍○○"/>
    <n v="359640000"/>
    <n v="697460000"/>
    <x v="2"/>
    <d v="2026-07-20T00:00:00"/>
    <n v="22"/>
    <s v="해당없음"/>
    <s v="신규"/>
    <d v="2026-10-20T00:00:00"/>
    <s v="대기"/>
    <d v="2026-08-11T00:00:00"/>
  </r>
  <r>
    <n v="16"/>
    <x v="1"/>
    <s v="저축은행 8지점"/>
    <s v="경기"/>
    <s v="안산시"/>
    <s v="안산"/>
    <s v="3계"/>
    <s v="2026-00016"/>
    <s v="임의경매"/>
    <s v="제조업소"/>
    <s v="기타"/>
    <s v="경기 안산시 단원구"/>
    <s v="홍○○"/>
    <s v="홍○○"/>
    <n v="737180000"/>
    <n v="756230000"/>
    <x v="3"/>
    <d v="2026-07-14T00:00:00"/>
    <n v="28"/>
    <s v="해당없음"/>
    <s v="신규"/>
    <d v="2026-09-29T00:00:00"/>
    <s v="대기"/>
    <d v="2026-08-11T00:00:00"/>
  </r>
  <r>
    <n v="17"/>
    <x v="2"/>
    <s v="수협 1지점"/>
    <s v="서울"/>
    <s v="양천구"/>
    <s v="남부"/>
    <s v="9계"/>
    <s v="2026-00017"/>
    <s v="강제경매"/>
    <s v="아파트"/>
    <s v="주거"/>
    <s v="서울 양천구 목동"/>
    <s v="홍○○"/>
    <s v="홍○○"/>
    <n v="1395580000"/>
    <n v="2482780000"/>
    <x v="4"/>
    <d v="2026-07-27T00:00:00"/>
    <n v="15"/>
    <s v="해당없음"/>
    <s v="신규"/>
    <d v="2026-10-27T00:00:00"/>
    <s v="대기"/>
    <d v="2026-08-11T00:00:00"/>
  </r>
  <r>
    <n v="18"/>
    <x v="2"/>
    <s v="수협 2지점"/>
    <s v="서울"/>
    <s v="강북구"/>
    <s v="북부"/>
    <s v="3계"/>
    <s v="2026-00018"/>
    <s v="임의경매"/>
    <s v="다세대"/>
    <s v="주거"/>
    <s v="서울 강북구 우이동"/>
    <s v="홍○○"/>
    <s v="홍○○"/>
    <n v="6134380000"/>
    <n v="13701360000"/>
    <x v="5"/>
    <d v="2026-07-24T00:00:00"/>
    <n v="18"/>
    <s v="해당없음"/>
    <s v="신규"/>
    <d v="2026-10-12T00:00:00"/>
    <s v="대기"/>
    <d v="2026-08-11T00:00:00"/>
  </r>
  <r>
    <n v="19"/>
    <x v="2"/>
    <s v="수협 3지점"/>
    <s v="서울"/>
    <s v="서대문구"/>
    <s v="서부"/>
    <s v="6계"/>
    <s v="2026-00019"/>
    <s v="임의경매"/>
    <s v="다세대"/>
    <s v="주거"/>
    <s v="서울 서대문구 홍은동"/>
    <s v="홍○○"/>
    <s v="홍○○"/>
    <n v="35040000"/>
    <n v="90400000"/>
    <x v="0"/>
    <d v="2026-07-13T00:00:00"/>
    <n v="29"/>
    <s v="해당없음"/>
    <s v="신규"/>
    <d v="2026-09-28T00:00:00"/>
    <s v="대기"/>
    <d v="2026-08-11T00:00:00"/>
  </r>
  <r>
    <n v="20"/>
    <x v="2"/>
    <s v="수협 4지점"/>
    <s v="서울"/>
    <s v="서대문구"/>
    <s v="서부"/>
    <s v="8계"/>
    <s v="2026-00020"/>
    <s v="임의경매"/>
    <s v="아파트"/>
    <s v="주거"/>
    <s v="서울 서대문구 북가좌동"/>
    <s v="홍○○"/>
    <s v="홍○○"/>
    <n v="170240000"/>
    <n v="248840000"/>
    <x v="1"/>
    <d v="2026-07-23T00:00:00"/>
    <n v="19"/>
    <s v="해당없음"/>
    <s v="신규"/>
    <d v="2026-10-06T00:00:00"/>
    <s v="대기"/>
    <d v="2026-08-11T00:00:00"/>
  </r>
  <r>
    <n v="21"/>
    <x v="2"/>
    <s v="수협 5지점"/>
    <s v="서울"/>
    <s v="마포구"/>
    <s v="서부"/>
    <s v="8계"/>
    <s v="2026-00021"/>
    <s v="임의경매"/>
    <s v="아파트"/>
    <s v="주거"/>
    <s v="서울 마포구 도화동"/>
    <s v="홍○○"/>
    <s v="홍○○"/>
    <n v="461080000"/>
    <n v="784190000"/>
    <x v="2"/>
    <d v="2026-07-30T00:00:00"/>
    <n v="12"/>
    <s v="해당없음"/>
    <s v="신규"/>
    <d v="2026-10-15T00:00:00"/>
    <s v="대기"/>
    <d v="2026-08-11T00:00:00"/>
  </r>
  <r>
    <n v="22"/>
    <x v="2"/>
    <s v="수협 6지점"/>
    <s v="서울"/>
    <s v="성동구"/>
    <s v="동부"/>
    <s v="4계"/>
    <s v="2026-00022"/>
    <s v="임의경매"/>
    <s v="근린주택"/>
    <s v="주거"/>
    <s v="서울 성동구 금호동"/>
    <s v="홍○○"/>
    <s v="홍○○"/>
    <n v="763290000"/>
    <n v="1232600000"/>
    <x v="3"/>
    <d v="2026-07-15T00:00:00"/>
    <n v="27"/>
    <s v="해당없음"/>
    <s v="신규"/>
    <d v="2026-10-06T00:00:00"/>
    <s v="대기"/>
    <d v="2026-08-11T00:00:00"/>
  </r>
  <r>
    <n v="23"/>
    <x v="2"/>
    <s v="수협 7지점"/>
    <s v="서울"/>
    <s v="동대문구"/>
    <s v="북부"/>
    <s v="5계"/>
    <s v="2026-00023"/>
    <s v="임의경매"/>
    <s v="근린주택"/>
    <s v="주거"/>
    <s v="서울 동대문구 제기동"/>
    <s v="홍○○"/>
    <s v="홍○○"/>
    <n v="1952280000"/>
    <n v="2856380000"/>
    <x v="4"/>
    <d v="2026-07-16T00:00:00"/>
    <n v="26"/>
    <s v="해당없음"/>
    <s v="신규"/>
    <d v="2026-09-29T00:00:00"/>
    <s v="대기"/>
    <d v="2026-08-11T00:00:00"/>
  </r>
  <r>
    <n v="24"/>
    <x v="2"/>
    <s v="수협 8지점"/>
    <s v="서울"/>
    <s v="중랑구"/>
    <s v="북부"/>
    <s v="6계"/>
    <s v="2026-00024"/>
    <s v="임의경매"/>
    <s v="주택"/>
    <s v="주거"/>
    <s v="서울 중랑구 면목동"/>
    <s v="홍○○"/>
    <s v="홍○○"/>
    <n v="4834720000"/>
    <n v="11152400000"/>
    <x v="5"/>
    <d v="2026-07-13T00:00:00"/>
    <n v="29"/>
    <s v="해당없음"/>
    <s v="신규"/>
    <d v="2026-09-28T00:00:00"/>
    <s v="정지"/>
    <d v="2026-08-11T00:00:00"/>
  </r>
  <r>
    <n v="25"/>
    <x v="3"/>
    <s v="새마을금고 1지점"/>
    <s v="서울"/>
    <s v="성북구"/>
    <s v="북부"/>
    <s v="6계"/>
    <s v="2026-00025"/>
    <s v="임의경매"/>
    <s v="아파트"/>
    <s v="주거"/>
    <s v="서울 성북구 종암동"/>
    <s v="홍○○"/>
    <s v="홍○○"/>
    <n v="58220000"/>
    <n v="85830000"/>
    <x v="0"/>
    <d v="2026-07-23T00:00:00"/>
    <n v="19"/>
    <s v="해당없음"/>
    <s v="신규"/>
    <d v="2026-10-08T00:00:00"/>
    <s v="대기"/>
    <d v="2026-08-11T00:00:00"/>
  </r>
  <r>
    <n v="26"/>
    <x v="3"/>
    <s v="새마을금고 2지점"/>
    <s v="서울"/>
    <s v="노원구"/>
    <s v="북부"/>
    <s v="9계"/>
    <s v="2026-00026"/>
    <s v="임의경매"/>
    <s v="아파트"/>
    <s v="주거"/>
    <s v="서울 노원구 상계동"/>
    <s v="홍○○"/>
    <s v="홍○○"/>
    <n v="138270000"/>
    <n v="317710000"/>
    <x v="1"/>
    <d v="2026-07-23T00:00:00"/>
    <n v="19"/>
    <s v="해당없음"/>
    <s v="신규"/>
    <d v="2026-10-08T00:00:00"/>
    <s v="대기"/>
    <d v="2026-08-11T00:00:00"/>
  </r>
  <r>
    <n v="27"/>
    <x v="3"/>
    <s v="새마을금고 3지점"/>
    <s v="서울"/>
    <s v="금천구"/>
    <s v="남부"/>
    <s v="3계"/>
    <s v="2026-00027"/>
    <s v="임의경매"/>
    <s v="아파트"/>
    <s v="주거"/>
    <s v="서울 금천구 시흥동"/>
    <s v="홍○○"/>
    <s v="홍○○"/>
    <n v="481950000"/>
    <n v="838510000"/>
    <x v="2"/>
    <d v="2026-07-20T00:00:00"/>
    <n v="22"/>
    <s v="해당없음"/>
    <s v="신규"/>
    <d v="2026-10-20T00:00:00"/>
    <s v="대기"/>
    <d v="2026-08-11T00:00:00"/>
  </r>
  <r>
    <n v="28"/>
    <x v="3"/>
    <s v="새마을금고 4지점"/>
    <s v="서울"/>
    <s v="구로구"/>
    <s v="남부"/>
    <s v="11계"/>
    <s v="2026-00028"/>
    <s v="강제경매"/>
    <s v="다가구주택"/>
    <s v="주거"/>
    <s v="서울 구로구 구로동"/>
    <s v="홍○○"/>
    <s v="홍○○"/>
    <n v="804090000"/>
    <n v="1190190000"/>
    <x v="3"/>
    <d v="2026-07-24T00:00:00"/>
    <n v="18"/>
    <s v="해당없음"/>
    <s v="신규"/>
    <d v="2026-10-28T00:00:00"/>
    <s v="대기"/>
    <d v="2026-08-11T00:00:00"/>
  </r>
  <r>
    <n v="29"/>
    <x v="3"/>
    <s v="새마을금고 5지점"/>
    <s v="서울"/>
    <s v="은평구"/>
    <s v="서부"/>
    <s v="5계"/>
    <s v="2026-00029"/>
    <s v="강제경매"/>
    <s v="다세대"/>
    <s v="주거"/>
    <s v="서울 은평구 대조동"/>
    <s v="홍○○"/>
    <s v="홍○○"/>
    <n v="1592180000"/>
    <n v="2864660000"/>
    <x v="4"/>
    <d v="2026-07-16T00:00:00"/>
    <n v="26"/>
    <s v="해당없음"/>
    <s v="신규"/>
    <d v="2026-09-30T00:00:00"/>
    <s v="대기"/>
    <d v="2026-08-11T00:00:00"/>
  </r>
  <r>
    <n v="30"/>
    <x v="3"/>
    <s v="새마을금고 6지점"/>
    <s v="경기"/>
    <s v="김포시"/>
    <s v="부천"/>
    <s v="4계"/>
    <s v="2026-00030"/>
    <s v="임의경매"/>
    <s v="점포(근린시설)"/>
    <s v="상업·업무"/>
    <s v="경기 김포시 걸포동"/>
    <s v="홍○○"/>
    <s v="홍○○"/>
    <n v="4505590000"/>
    <n v="6983310000"/>
    <x v="5"/>
    <d v="2026-07-15T00:00:00"/>
    <n v="27"/>
    <s v="해당없음"/>
    <s v="신규"/>
    <d v="2026-09-29T00:00:00"/>
    <s v="대기"/>
    <d v="2026-08-11T00:00:00"/>
  </r>
  <r>
    <n v="31"/>
    <x v="3"/>
    <s v="새마을금고 7지점"/>
    <s v="경기"/>
    <s v="용인시"/>
    <s v="수원"/>
    <s v="13계"/>
    <s v="2026-00031"/>
    <s v="임의경매"/>
    <s v="아파트"/>
    <s v="주거"/>
    <s v="경기 용인시 기흥구"/>
    <s v="홍○○"/>
    <s v="홍○○"/>
    <n v="81860000"/>
    <n v="116300000"/>
    <x v="0"/>
    <d v="2026-07-16T00:00:00"/>
    <n v="26"/>
    <s v="해당없음"/>
    <s v="신규"/>
    <d v="2026-09-30T00:00:00"/>
    <s v="취하"/>
    <d v="2026-08-11T00:00:00"/>
  </r>
  <r>
    <n v="32"/>
    <x v="3"/>
    <s v="새마을금고 8지점"/>
    <s v="경기"/>
    <s v="고양시"/>
    <s v="고양"/>
    <s v="8계"/>
    <s v="2026-00032"/>
    <s v="임의경매"/>
    <s v="근린시설"/>
    <s v="상업·업무"/>
    <s v="경기 고양시 일산서구"/>
    <s v="홍○○"/>
    <s v="홍○○"/>
    <n v="206070000"/>
    <n v="229470000"/>
    <x v="1"/>
    <d v="2026-07-16T00:00:00"/>
    <n v="26"/>
    <s v="해당없음"/>
    <s v="신규"/>
    <d v="2026-10-20T00:00:00"/>
    <s v="대기"/>
    <d v="2026-08-11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s v="신협"/>
    <s v="신협 1지점"/>
    <s v="서울"/>
    <x v="0"/>
    <s v="중앙"/>
    <s v="10계"/>
    <s v="2026-00001"/>
    <s v="임의경매"/>
    <s v="근린시설"/>
    <s v="상업·업무"/>
    <s v="서울 관악구 봉천동"/>
    <s v="홍○○"/>
    <s v="홍○○"/>
    <n v="34350000"/>
    <n v="31610000"/>
    <s v="① 100,000,000원 미만"/>
    <d v="2026-07-21T00:00:00"/>
    <n v="21"/>
    <s v="해당없음"/>
    <s v="신규"/>
    <d v="2026-10-01T00:00:00"/>
    <s v="대기"/>
    <d v="2026-08-11T00:00:00"/>
  </r>
  <r>
    <n v="2"/>
    <s v="신협"/>
    <s v="신협 2지점"/>
    <s v="서울"/>
    <x v="1"/>
    <s v="서부"/>
    <s v="1계"/>
    <s v="2026-00002"/>
    <s v="임의경매"/>
    <s v="상가"/>
    <s v="상업·업무"/>
    <s v="서울 용산구 원효로"/>
    <s v="홍○○"/>
    <s v="홍○○"/>
    <n v="247220000"/>
    <n v="562830000"/>
    <s v="② 100,000,000~300,000,000원"/>
    <d v="2026-07-22T00:00:00"/>
    <n v="20"/>
    <s v="해당없음"/>
    <s v="신규"/>
    <d v="2026-10-02T00:00:00"/>
    <s v="취하"/>
    <d v="2026-08-11T00:00:00"/>
  </r>
  <r>
    <n v="3"/>
    <s v="신협"/>
    <s v="신협 3지점"/>
    <s v="서울"/>
    <x v="2"/>
    <s v="중앙"/>
    <s v="9계"/>
    <s v="2026-00003"/>
    <s v="임의경매"/>
    <s v="오피스텔"/>
    <s v="오피스텔"/>
    <s v="서울 강남구 역삼동"/>
    <s v="홍○○"/>
    <s v="홍○○"/>
    <n v="407370000"/>
    <n v="502200000"/>
    <s v="③ 300,000,000~500,000,000원"/>
    <d v="2026-07-14T00:00:00"/>
    <n v="28"/>
    <s v="해당없음"/>
    <s v="신규"/>
    <d v="2026-10-08T00:00:00"/>
    <s v="대기"/>
    <d v="2026-08-11T00:00:00"/>
  </r>
  <r>
    <n v="4"/>
    <s v="신협"/>
    <s v="신협 4지점"/>
    <s v="서울"/>
    <x v="3"/>
    <s v="동부"/>
    <s v="3계"/>
    <s v="2026-00004"/>
    <s v="임의경매"/>
    <s v="아파트"/>
    <s v="주거"/>
    <s v="서울 송파구 가락동"/>
    <s v="홍○○"/>
    <s v="홍○○"/>
    <n v="835580000"/>
    <n v="942090000"/>
    <s v="④ 500,000,000~1,000,000,000원"/>
    <d v="2026-07-22T00:00:00"/>
    <n v="20"/>
    <s v="해당없음"/>
    <s v="신규"/>
    <d v="2026-10-12T00:00:00"/>
    <s v="대기"/>
    <d v="2026-08-11T00:00:00"/>
  </r>
  <r>
    <n v="5"/>
    <s v="신협"/>
    <s v="신협 5지점"/>
    <s v="서울"/>
    <x v="4"/>
    <s v="동부"/>
    <s v="1계"/>
    <s v="2026-00005"/>
    <s v="임의경매"/>
    <s v="근린시설"/>
    <s v="상업·업무"/>
    <s v="서울 광진구 중곡동"/>
    <s v="홍○○"/>
    <s v="홍○○"/>
    <n v="2877450000"/>
    <n v="4707120000"/>
    <s v="⑤ 1,000,000,000~3,000,000,000원"/>
    <d v="2026-07-28T00:00:00"/>
    <n v="14"/>
    <s v="해당없음"/>
    <s v="신규"/>
    <d v="2026-10-12T00:00:00"/>
    <s v="대기"/>
    <d v="2026-08-11T00:00:00"/>
  </r>
  <r>
    <n v="6"/>
    <s v="신협"/>
    <s v="신협 6지점"/>
    <s v="서울"/>
    <x v="5"/>
    <s v="남부"/>
    <s v="9계"/>
    <s v="2026-00006"/>
    <s v="임의경매"/>
    <s v="근린주택"/>
    <s v="주거"/>
    <s v="서울 금천구 독산동"/>
    <s v="홍○○"/>
    <s v="홍○○"/>
    <n v="4975500000"/>
    <n v="5537750000"/>
    <s v="⑥ 3,000,000,000원 이상"/>
    <d v="2026-07-22T00:00:00"/>
    <n v="20"/>
    <s v="해당없음"/>
    <s v="신규"/>
    <d v="2026-10-21T00:00:00"/>
    <s v="대기"/>
    <d v="2026-08-11T00:00:00"/>
  </r>
  <r>
    <n v="7"/>
    <s v="신협"/>
    <s v="신협 7지점"/>
    <s v="서울"/>
    <x v="6"/>
    <s v="남부"/>
    <s v="10계"/>
    <s v="2026-00007"/>
    <s v="임의경매"/>
    <s v="상가"/>
    <s v="상업·업무"/>
    <s v="서울 강서구 마곡동"/>
    <s v="홍○○"/>
    <s v="홍○○"/>
    <n v="79010000"/>
    <n v="92000000"/>
    <s v="① 100,000,000원 미만"/>
    <d v="2026-08-04T00:00:00"/>
    <n v="7"/>
    <s v="해당"/>
    <s v="신규"/>
    <d v="2026-11-03T00:00:00"/>
    <s v="대기"/>
    <d v="2026-08-11T00:00:00"/>
  </r>
  <r>
    <n v="8"/>
    <s v="신협"/>
    <s v="신협 8지점"/>
    <s v="서울"/>
    <x v="3"/>
    <s v="동부"/>
    <s v="4계"/>
    <s v="2026-00008"/>
    <s v="임의경매"/>
    <s v="상가"/>
    <s v="상업·업무"/>
    <s v="서울 송파구 장지동"/>
    <s v="홍○○"/>
    <s v="홍○○"/>
    <n v="206960000"/>
    <n v="264530000"/>
    <s v="② 100,000,000~300,000,000원"/>
    <d v="2026-07-30T00:00:00"/>
    <n v="12"/>
    <s v="해당없음"/>
    <s v="신규"/>
    <d v="2026-10-14T00:00:00"/>
    <s v="대기"/>
    <d v="2026-08-11T00:00:00"/>
  </r>
  <r>
    <n v="9"/>
    <s v="저축은행"/>
    <s v="저축은행 1지점"/>
    <s v="서울"/>
    <x v="0"/>
    <s v="중앙"/>
    <s v="21계"/>
    <s v="2026-00009"/>
    <s v="임의경매"/>
    <s v="근린주택"/>
    <s v="주거"/>
    <s v="서울 관악구 남현동"/>
    <s v="홍○○"/>
    <s v="홍○○"/>
    <n v="361040000"/>
    <n v="800160000"/>
    <s v="③ 300,000,000~500,000,000원"/>
    <d v="2026-07-14T00:00:00"/>
    <n v="28"/>
    <s v="해당없음"/>
    <s v="신규"/>
    <d v="2026-10-16T00:00:00"/>
    <s v="대기"/>
    <d v="2026-08-11T00:00:00"/>
  </r>
  <r>
    <n v="10"/>
    <s v="저축은행"/>
    <s v="저축은행 2지점"/>
    <s v="서울"/>
    <x v="6"/>
    <s v="남부"/>
    <s v="5계"/>
    <s v="2026-00010"/>
    <s v="임의경매"/>
    <s v="상가"/>
    <s v="상업·업무"/>
    <s v="서울 강서구 방화동"/>
    <s v="홍○○"/>
    <s v="홍○○"/>
    <n v="879400000"/>
    <n v="987510000"/>
    <s v="④ 500,000,000~1,000,000,000원"/>
    <d v="2026-07-14T00:00:00"/>
    <n v="28"/>
    <s v="해당없음"/>
    <s v="신규"/>
    <d v="2026-10-13T00:00:00"/>
    <s v="대기"/>
    <d v="2026-08-11T00:00:00"/>
  </r>
  <r>
    <n v="11"/>
    <s v="저축은행"/>
    <s v="저축은행 3지점"/>
    <s v="서울"/>
    <x v="7"/>
    <s v="서부"/>
    <s v="6계"/>
    <s v="2026-00011"/>
    <s v="임의경매"/>
    <s v="대지"/>
    <s v="토지"/>
    <s v="서울 은평구 불광동"/>
    <s v="홍○○"/>
    <s v="홍○○"/>
    <n v="2670750000"/>
    <n v="4690640000"/>
    <s v="⑤ 1,000,000,000~3,000,000,000원"/>
    <d v="2026-07-20T00:00:00"/>
    <n v="22"/>
    <s v="해당없음"/>
    <s v="신규"/>
    <d v="2026-10-02T00:00:00"/>
    <s v="대기"/>
    <d v="2026-08-11T00:00:00"/>
  </r>
  <r>
    <n v="12"/>
    <s v="저축은행"/>
    <s v="저축은행 4지점"/>
    <s v="서울"/>
    <x v="8"/>
    <s v="북부"/>
    <s v="3계"/>
    <s v="2026-00012"/>
    <s v="임의경매"/>
    <s v="오피스텔"/>
    <s v="오피스텔"/>
    <s v="서울 도봉구 창동"/>
    <s v="홍○○"/>
    <s v="홍○○"/>
    <n v="3434740000"/>
    <n v="5697680000"/>
    <s v="⑥ 3,000,000,000원 이상"/>
    <d v="2026-07-24T00:00:00"/>
    <n v="18"/>
    <s v="해당없음"/>
    <s v="신규"/>
    <d v="2026-10-12T00:00:00"/>
    <s v="대기"/>
    <d v="2026-08-11T00:00:00"/>
  </r>
  <r>
    <n v="13"/>
    <s v="저축은행"/>
    <s v="저축은행 5지점"/>
    <s v="서울"/>
    <x v="9"/>
    <s v="남부"/>
    <s v="12계"/>
    <s v="2026-00013"/>
    <s v="임의경매"/>
    <s v="다세대"/>
    <s v="주거"/>
    <s v="서울 영등포구 당산동"/>
    <s v="홍○○"/>
    <s v="홍○○"/>
    <n v="48880000"/>
    <n v="69080000"/>
    <s v="① 100,000,000원 미만"/>
    <d v="2026-07-27T00:00:00"/>
    <n v="15"/>
    <s v="해당없음"/>
    <s v="신규"/>
    <d v="2026-10-27T00:00:00"/>
    <s v="대기"/>
    <d v="2026-08-11T00:00:00"/>
  </r>
  <r>
    <n v="14"/>
    <s v="저축은행"/>
    <s v="저축은행 6지점"/>
    <s v="서울"/>
    <x v="4"/>
    <s v="동부"/>
    <s v="5계"/>
    <s v="2026-00014"/>
    <s v="임의경매"/>
    <s v="다세대(생활주택)"/>
    <s v="주거"/>
    <s v="서울 광진구 중곡동"/>
    <s v="홍○○"/>
    <s v="홍○○"/>
    <n v="261540000"/>
    <n v="404040000"/>
    <s v="② 100,000,000~300,000,000원"/>
    <d v="2026-07-22T00:00:00"/>
    <n v="20"/>
    <s v="해당없음"/>
    <s v="신규"/>
    <d v="2026-10-12T00:00:00"/>
    <s v="대기"/>
    <d v="2026-08-11T00:00:00"/>
  </r>
  <r>
    <n v="15"/>
    <s v="저축은행"/>
    <s v="저축은행 7지점"/>
    <s v="서울"/>
    <x v="5"/>
    <s v="남부"/>
    <s v="2계"/>
    <s v="2026-00015"/>
    <s v="임의경매"/>
    <s v="오피스텔"/>
    <s v="오피스텔"/>
    <s v="서울 금천구 가산동"/>
    <s v="홍○○"/>
    <s v="홍○○"/>
    <n v="359640000"/>
    <n v="697460000"/>
    <s v="③ 300,000,000~500,000,000원"/>
    <d v="2026-07-20T00:00:00"/>
    <n v="22"/>
    <s v="해당없음"/>
    <s v="신규"/>
    <d v="2026-10-20T00:00:00"/>
    <s v="대기"/>
    <d v="2026-08-11T00:00:00"/>
  </r>
  <r>
    <n v="16"/>
    <s v="저축은행"/>
    <s v="저축은행 8지점"/>
    <s v="경기"/>
    <x v="10"/>
    <s v="안산"/>
    <s v="3계"/>
    <s v="2026-00016"/>
    <s v="임의경매"/>
    <s v="제조업소"/>
    <s v="기타"/>
    <s v="경기 안산시 단원구"/>
    <s v="홍○○"/>
    <s v="홍○○"/>
    <n v="737180000"/>
    <n v="756230000"/>
    <s v="④ 500,000,000~1,000,000,000원"/>
    <d v="2026-07-14T00:00:00"/>
    <n v="28"/>
    <s v="해당없음"/>
    <s v="신규"/>
    <d v="2026-09-29T00:00:00"/>
    <s v="대기"/>
    <d v="2026-08-11T00:00:00"/>
  </r>
  <r>
    <n v="17"/>
    <s v="수협"/>
    <s v="수협 1지점"/>
    <s v="서울"/>
    <x v="11"/>
    <s v="남부"/>
    <s v="9계"/>
    <s v="2026-00017"/>
    <s v="강제경매"/>
    <s v="아파트"/>
    <s v="주거"/>
    <s v="서울 양천구 목동"/>
    <s v="홍○○"/>
    <s v="홍○○"/>
    <n v="1395580000"/>
    <n v="2482780000"/>
    <s v="⑤ 1,000,000,000~3,000,000,000원"/>
    <d v="2026-07-27T00:00:00"/>
    <n v="15"/>
    <s v="해당없음"/>
    <s v="신규"/>
    <d v="2026-10-27T00:00:00"/>
    <s v="대기"/>
    <d v="2026-08-11T00:00:00"/>
  </r>
  <r>
    <n v="18"/>
    <s v="수협"/>
    <s v="수협 2지점"/>
    <s v="서울"/>
    <x v="12"/>
    <s v="북부"/>
    <s v="3계"/>
    <s v="2026-00018"/>
    <s v="임의경매"/>
    <s v="다세대"/>
    <s v="주거"/>
    <s v="서울 강북구 우이동"/>
    <s v="홍○○"/>
    <s v="홍○○"/>
    <n v="6134380000"/>
    <n v="13701360000"/>
    <s v="⑥ 3,000,000,000원 이상"/>
    <d v="2026-07-24T00:00:00"/>
    <n v="18"/>
    <s v="해당없음"/>
    <s v="신규"/>
    <d v="2026-10-12T00:00:00"/>
    <s v="대기"/>
    <d v="2026-08-11T00:00:00"/>
  </r>
  <r>
    <n v="19"/>
    <s v="수협"/>
    <s v="수협 3지점"/>
    <s v="서울"/>
    <x v="13"/>
    <s v="서부"/>
    <s v="6계"/>
    <s v="2026-00019"/>
    <s v="임의경매"/>
    <s v="다세대"/>
    <s v="주거"/>
    <s v="서울 서대문구 홍은동"/>
    <s v="홍○○"/>
    <s v="홍○○"/>
    <n v="35040000"/>
    <n v="90400000"/>
    <s v="① 100,000,000원 미만"/>
    <d v="2026-07-13T00:00:00"/>
    <n v="29"/>
    <s v="해당없음"/>
    <s v="신규"/>
    <d v="2026-09-28T00:00:00"/>
    <s v="대기"/>
    <d v="2026-08-11T00:00:00"/>
  </r>
  <r>
    <n v="20"/>
    <s v="수협"/>
    <s v="수협 4지점"/>
    <s v="서울"/>
    <x v="13"/>
    <s v="서부"/>
    <s v="8계"/>
    <s v="2026-00020"/>
    <s v="임의경매"/>
    <s v="아파트"/>
    <s v="주거"/>
    <s v="서울 서대문구 북가좌동"/>
    <s v="홍○○"/>
    <s v="홍○○"/>
    <n v="170240000"/>
    <n v="248840000"/>
    <s v="② 100,000,000~300,000,000원"/>
    <d v="2026-07-23T00:00:00"/>
    <n v="19"/>
    <s v="해당없음"/>
    <s v="신규"/>
    <d v="2026-10-06T00:00:00"/>
    <s v="대기"/>
    <d v="2026-08-11T00:00:00"/>
  </r>
  <r>
    <n v="21"/>
    <s v="수협"/>
    <s v="수협 5지점"/>
    <s v="서울"/>
    <x v="14"/>
    <s v="서부"/>
    <s v="8계"/>
    <s v="2026-00021"/>
    <s v="임의경매"/>
    <s v="아파트"/>
    <s v="주거"/>
    <s v="서울 마포구 도화동"/>
    <s v="홍○○"/>
    <s v="홍○○"/>
    <n v="461080000"/>
    <n v="784190000"/>
    <s v="③ 300,000,000~500,000,000원"/>
    <d v="2026-07-30T00:00:00"/>
    <n v="12"/>
    <s v="해당없음"/>
    <s v="신규"/>
    <d v="2026-10-15T00:00:00"/>
    <s v="대기"/>
    <d v="2026-08-11T00:00:00"/>
  </r>
  <r>
    <n v="22"/>
    <s v="수협"/>
    <s v="수협 6지점"/>
    <s v="서울"/>
    <x v="15"/>
    <s v="동부"/>
    <s v="4계"/>
    <s v="2026-00022"/>
    <s v="임의경매"/>
    <s v="근린주택"/>
    <s v="주거"/>
    <s v="서울 성동구 금호동"/>
    <s v="홍○○"/>
    <s v="홍○○"/>
    <n v="763290000"/>
    <n v="1232600000"/>
    <s v="④ 500,000,000~1,000,000,000원"/>
    <d v="2026-07-15T00:00:00"/>
    <n v="27"/>
    <s v="해당없음"/>
    <s v="신규"/>
    <d v="2026-10-06T00:00:00"/>
    <s v="대기"/>
    <d v="2026-08-11T00:00:00"/>
  </r>
  <r>
    <n v="23"/>
    <s v="수협"/>
    <s v="수협 7지점"/>
    <s v="서울"/>
    <x v="16"/>
    <s v="북부"/>
    <s v="5계"/>
    <s v="2026-00023"/>
    <s v="임의경매"/>
    <s v="근린주택"/>
    <s v="주거"/>
    <s v="서울 동대문구 제기동"/>
    <s v="홍○○"/>
    <s v="홍○○"/>
    <n v="1952280000"/>
    <n v="2856380000"/>
    <s v="⑤ 1,000,000,000~3,000,000,000원"/>
    <d v="2026-07-16T00:00:00"/>
    <n v="26"/>
    <s v="해당없음"/>
    <s v="신규"/>
    <d v="2026-09-29T00:00:00"/>
    <s v="대기"/>
    <d v="2026-08-11T00:00:00"/>
  </r>
  <r>
    <n v="24"/>
    <s v="수협"/>
    <s v="수협 8지점"/>
    <s v="서울"/>
    <x v="17"/>
    <s v="북부"/>
    <s v="6계"/>
    <s v="2026-00024"/>
    <s v="임의경매"/>
    <s v="주택"/>
    <s v="주거"/>
    <s v="서울 중랑구 면목동"/>
    <s v="홍○○"/>
    <s v="홍○○"/>
    <n v="4834720000"/>
    <n v="11152400000"/>
    <s v="⑥ 3,000,000,000원 이상"/>
    <d v="2026-07-13T00:00:00"/>
    <n v="29"/>
    <s v="해당없음"/>
    <s v="신규"/>
    <d v="2026-09-28T00:00:00"/>
    <s v="정지"/>
    <d v="2026-08-11T00:00:00"/>
  </r>
  <r>
    <n v="25"/>
    <s v="새마을금고"/>
    <s v="새마을금고 1지점"/>
    <s v="서울"/>
    <x v="18"/>
    <s v="북부"/>
    <s v="6계"/>
    <s v="2026-00025"/>
    <s v="임의경매"/>
    <s v="아파트"/>
    <s v="주거"/>
    <s v="서울 성북구 종암동"/>
    <s v="홍○○"/>
    <s v="홍○○"/>
    <n v="58220000"/>
    <n v="85830000"/>
    <s v="① 100,000,000원 미만"/>
    <d v="2026-07-23T00:00:00"/>
    <n v="19"/>
    <s v="해당없음"/>
    <s v="신규"/>
    <d v="2026-10-08T00:00:00"/>
    <s v="대기"/>
    <d v="2026-08-11T00:00:00"/>
  </r>
  <r>
    <n v="26"/>
    <s v="새마을금고"/>
    <s v="새마을금고 2지점"/>
    <s v="서울"/>
    <x v="19"/>
    <s v="북부"/>
    <s v="9계"/>
    <s v="2026-00026"/>
    <s v="임의경매"/>
    <s v="아파트"/>
    <s v="주거"/>
    <s v="서울 노원구 상계동"/>
    <s v="홍○○"/>
    <s v="홍○○"/>
    <n v="138270000"/>
    <n v="317710000"/>
    <s v="② 100,000,000~300,000,000원"/>
    <d v="2026-07-23T00:00:00"/>
    <n v="19"/>
    <s v="해당없음"/>
    <s v="신규"/>
    <d v="2026-10-08T00:00:00"/>
    <s v="대기"/>
    <d v="2026-08-11T00:00:00"/>
  </r>
  <r>
    <n v="27"/>
    <s v="새마을금고"/>
    <s v="새마을금고 3지점"/>
    <s v="서울"/>
    <x v="5"/>
    <s v="남부"/>
    <s v="3계"/>
    <s v="2026-00027"/>
    <s v="임의경매"/>
    <s v="아파트"/>
    <s v="주거"/>
    <s v="서울 금천구 시흥동"/>
    <s v="홍○○"/>
    <s v="홍○○"/>
    <n v="481950000"/>
    <n v="838510000"/>
    <s v="③ 300,000,000~500,000,000원"/>
    <d v="2026-07-20T00:00:00"/>
    <n v="22"/>
    <s v="해당없음"/>
    <s v="신규"/>
    <d v="2026-10-20T00:00:00"/>
    <s v="대기"/>
    <d v="2026-08-11T00:00:00"/>
  </r>
  <r>
    <n v="28"/>
    <s v="새마을금고"/>
    <s v="새마을금고 4지점"/>
    <s v="서울"/>
    <x v="20"/>
    <s v="남부"/>
    <s v="11계"/>
    <s v="2026-00028"/>
    <s v="강제경매"/>
    <s v="다가구주택"/>
    <s v="주거"/>
    <s v="서울 구로구 구로동"/>
    <s v="홍○○"/>
    <s v="홍○○"/>
    <n v="804090000"/>
    <n v="1190190000"/>
    <s v="④ 500,000,000~1,000,000,000원"/>
    <d v="2026-07-24T00:00:00"/>
    <n v="18"/>
    <s v="해당없음"/>
    <s v="신규"/>
    <d v="2026-10-28T00:00:00"/>
    <s v="대기"/>
    <d v="2026-08-11T00:00:00"/>
  </r>
  <r>
    <n v="29"/>
    <s v="새마을금고"/>
    <s v="새마을금고 5지점"/>
    <s v="서울"/>
    <x v="7"/>
    <s v="서부"/>
    <s v="5계"/>
    <s v="2026-00029"/>
    <s v="강제경매"/>
    <s v="다세대"/>
    <s v="주거"/>
    <s v="서울 은평구 대조동"/>
    <s v="홍○○"/>
    <s v="홍○○"/>
    <n v="1592180000"/>
    <n v="2864660000"/>
    <s v="⑤ 1,000,000,000~3,000,000,000원"/>
    <d v="2026-07-16T00:00:00"/>
    <n v="26"/>
    <s v="해당없음"/>
    <s v="신규"/>
    <d v="2026-09-30T00:00:00"/>
    <s v="대기"/>
    <d v="2026-08-11T00:00:00"/>
  </r>
  <r>
    <n v="30"/>
    <s v="새마을금고"/>
    <s v="새마을금고 6지점"/>
    <s v="경기"/>
    <x v="21"/>
    <s v="부천"/>
    <s v="4계"/>
    <s v="2026-00030"/>
    <s v="임의경매"/>
    <s v="점포(근린시설)"/>
    <s v="상업·업무"/>
    <s v="경기 김포시 걸포동"/>
    <s v="홍○○"/>
    <s v="홍○○"/>
    <n v="4505590000"/>
    <n v="6983310000"/>
    <s v="⑥ 3,000,000,000원 이상"/>
    <d v="2026-07-15T00:00:00"/>
    <n v="27"/>
    <s v="해당없음"/>
    <s v="신규"/>
    <d v="2026-09-29T00:00:00"/>
    <s v="대기"/>
    <d v="2026-08-11T00:00:00"/>
  </r>
  <r>
    <n v="31"/>
    <s v="새마을금고"/>
    <s v="새마을금고 7지점"/>
    <s v="경기"/>
    <x v="22"/>
    <s v="수원"/>
    <s v="13계"/>
    <s v="2026-00031"/>
    <s v="임의경매"/>
    <s v="아파트"/>
    <s v="주거"/>
    <s v="경기 용인시 기흥구"/>
    <s v="홍○○"/>
    <s v="홍○○"/>
    <n v="81860000"/>
    <n v="116300000"/>
    <s v="① 100,000,000원 미만"/>
    <d v="2026-07-16T00:00:00"/>
    <n v="26"/>
    <s v="해당없음"/>
    <s v="신규"/>
    <d v="2026-09-30T00:00:00"/>
    <s v="취하"/>
    <d v="2026-08-11T00:00:00"/>
  </r>
  <r>
    <n v="32"/>
    <s v="새마을금고"/>
    <s v="새마을금고 8지점"/>
    <s v="경기"/>
    <x v="23"/>
    <s v="고양"/>
    <s v="8계"/>
    <s v="2026-00032"/>
    <s v="임의경매"/>
    <s v="근린시설"/>
    <s v="상업·업무"/>
    <s v="경기 고양시 일산서구"/>
    <s v="홍○○"/>
    <s v="홍○○"/>
    <n v="206070000"/>
    <n v="229470000"/>
    <s v="② 100,000,000~300,000,000원"/>
    <d v="2026-07-16T00:00:00"/>
    <n v="26"/>
    <s v="해당없음"/>
    <s v="신규"/>
    <d v="2026-10-20T00:00:00"/>
    <s v="대기"/>
    <d v="2026-08-1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CE0A7-5837-4495-B3EE-B587A5E9BF54}" name="PT_시군구_상위" cacheId="1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">
  <location ref="P3:R28" firstHeaderRow="0" firstDataRow="1" firstDataCol="1"/>
  <pivotFields count="24">
    <pivotField dataField="1" numFmtId="1" showAll="0"/>
    <pivotField showAll="0"/>
    <pivotField showAll="0"/>
    <pivotField showAll="0"/>
    <pivotField axis="axisRow" showAll="0" sortType="descending">
      <items count="48">
        <item m="1" x="24"/>
        <item m="1" x="27"/>
        <item m="1" x="40"/>
        <item m="1" x="31"/>
        <item m="1" x="26"/>
        <item x="17"/>
        <item m="1" x="39"/>
        <item m="1" x="37"/>
        <item m="1" x="41"/>
        <item x="7"/>
        <item x="22"/>
        <item x="1"/>
        <item m="1" x="43"/>
        <item x="9"/>
        <item m="1" x="25"/>
        <item m="1" x="46"/>
        <item m="1" x="33"/>
        <item x="11"/>
        <item m="1" x="36"/>
        <item m="1" x="45"/>
        <item x="10"/>
        <item m="1" x="30"/>
        <item m="1" x="32"/>
        <item x="3"/>
        <item x="18"/>
        <item x="15"/>
        <item m="1" x="29"/>
        <item x="13"/>
        <item m="1" x="42"/>
        <item x="14"/>
        <item x="16"/>
        <item x="8"/>
        <item x="19"/>
        <item m="1" x="38"/>
        <item x="21"/>
        <item x="5"/>
        <item m="1" x="34"/>
        <item x="20"/>
        <item x="4"/>
        <item m="1" x="35"/>
        <item m="1" x="44"/>
        <item x="0"/>
        <item x="23"/>
        <item x="6"/>
        <item x="12"/>
        <item x="2"/>
        <item m="1"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numFmtId="3" showAll="0"/>
    <pivotField showAll="0"/>
    <pivotField numFmtId="177" showAll="0"/>
    <pivotField numFmtId="1" showAll="0"/>
    <pivotField showAll="0"/>
    <pivotField showAll="0"/>
    <pivotField numFmtId="177" showAll="0"/>
    <pivotField showAll="0"/>
    <pivotField numFmtId="177" showAll="0"/>
  </pivotFields>
  <rowFields count="1">
    <field x="4"/>
  </rowFields>
  <rowItems count="25">
    <i>
      <x v="5"/>
    </i>
    <i>
      <x v="9"/>
    </i>
    <i>
      <x v="10"/>
    </i>
    <i>
      <x v="11"/>
    </i>
    <i>
      <x v="13"/>
    </i>
    <i>
      <x v="17"/>
    </i>
    <i>
      <x v="20"/>
    </i>
    <i>
      <x v="23"/>
    </i>
    <i>
      <x v="24"/>
    </i>
    <i>
      <x v="25"/>
    </i>
    <i>
      <x v="27"/>
    </i>
    <i>
      <x v="29"/>
    </i>
    <i>
      <x v="30"/>
    </i>
    <i>
      <x v="31"/>
    </i>
    <i>
      <x v="32"/>
    </i>
    <i>
      <x v="34"/>
    </i>
    <i>
      <x v="35"/>
    </i>
    <i>
      <x v="37"/>
    </i>
    <i>
      <x v="38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2">
    <i>
      <x/>
    </i>
    <i i="1">
      <x v="1"/>
    </i>
  </colItems>
  <dataFields count="2">
    <dataField name="건수" fld="0" subtotal="count" baseField="0" baseItem="0"/>
    <dataField name="청구액 합계(원)" fld="14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EA0A8-09FF-4593-B7E5-31B882F08E97}" name="PT_채권자_규모대" cacheId="1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H3:M11" firstHeaderRow="1" firstDataRow="2" firstDataCol="1"/>
  <pivotFields count="24">
    <pivotField dataField="1" numFmtId="1" showAll="0"/>
    <pivotField axis="axisCol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numFmtId="177" showAll="0"/>
    <pivotField numFmtId="1" showAll="0"/>
    <pivotField showAll="0"/>
    <pivotField showAll="0"/>
    <pivotField numFmtId="177" showAll="0"/>
    <pivotField showAll="0"/>
    <pivotField numFmtId="177"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건수" fld="0" subtotal="count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7BEC9-0265-44EA-A185-8C349FE62F1E}" name="PT_채권자_시도" cacheId="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1">
  <location ref="A3:G10" firstHeaderRow="1" firstDataRow="3" firstDataCol="1"/>
  <pivotFields count="24">
    <pivotField dataField="1" numFmtId="1" showAll="0"/>
    <pivotField axis="axisRow" showAll="0">
      <items count="5">
        <item x="3"/>
        <item x="2"/>
        <item x="0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numFmtId="3" showAll="0"/>
    <pivotField showAll="0"/>
    <pivotField numFmtId="177" showAll="0"/>
    <pivotField numFmtId="1" showAll="0"/>
    <pivotField showAll="0"/>
    <pivotField showAll="0"/>
    <pivotField numFmtId="177" showAll="0"/>
    <pivotField showAll="0"/>
    <pivotField numFmtId="177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건수" fld="0" subtotal="count" baseField="0" baseItem="0" numFmtId="3"/>
    <dataField name="청구액 합계(원)" fld="14" baseField="0" baseItem="0" numFmtId="3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채권자_구분" xr10:uid="{F0E930A0-4591-4B4A-B442-D47FE8F28101}" sourceName="채권자 구분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용도군" xr10:uid="{5774C791-3C1B-43E9-99AB-E6175AA861F4}" sourceName="용도군">
  <extLst>
    <x:ext xmlns:x15="http://schemas.microsoft.com/office/spreadsheetml/2010/11/main" uri="{2F2917AC-EB37-4324-AD4E-5DD8C200BD13}">
      <x15:tableSlicerCache tableId="1" column="1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청구액_규모대" xr10:uid="{FA5A95BB-2134-40F9-9110-B08AD9075EC2}" sourceName="청구액 규모대">
  <extLst>
    <x:ext xmlns:x15="http://schemas.microsoft.com/office/spreadsheetml/2010/11/main" uri="{2F2917AC-EB37-4324-AD4E-5DD8C200BD13}">
      <x15:tableSlicerCache tableId="1" column="17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시·군·구" xr10:uid="{A8FA86E2-2A71-4557-AF7F-3F0BE75691DC}" sourceName="시·군·구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시도" xr10:uid="{20DD3DA4-1662-4461-96CF-077B1E37115A}" sourceName="시도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최근_7일" xr10:uid="{52596F74-E07D-4501-8AF2-E94CB4ED46F3}" sourceName="최근 7일">
  <extLst>
    <x:ext xmlns:x15="http://schemas.microsoft.com/office/spreadsheetml/2010/11/main" uri="{2F2917AC-EB37-4324-AD4E-5DD8C200BD13}">
      <x15:tableSlicerCache tableId="1" column="20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신규" xr10:uid="{0199469A-CE0E-4927-8BA0-AEDC67CE6817}" sourceName="신규">
  <extLst>
    <x:ext xmlns:x15="http://schemas.microsoft.com/office/spreadsheetml/2010/11/main" uri="{2F2917AC-EB37-4324-AD4E-5DD8C200BD13}">
      <x15:tableSlicerCache tableId="1" column="2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_채권자구분" xr10:uid="{7573D075-BF02-41B0-8932-F86B56158D33}" cache="슬라이서_채권자_구분" caption="SL_채권자구분" rowHeight="285750"/>
  <slicer name="SL_용도군" xr10:uid="{EFB5A789-F1FD-4497-BDAD-078708DBC7CB}" cache="슬라이서_용도군" caption="SL_용도군" rowHeight="285750"/>
  <slicer name="SL_청구액규모대" xr10:uid="{CAEC29CD-6821-4C29-A81C-C2BF2B16776B}" cache="슬라이서_청구액_규모대" caption="SL_청구액규모대" rowHeight="285750"/>
  <slicer name="SL_시군구" xr10:uid="{BBE4A39F-83D0-4653-BAFD-9E4A8E8AB322}" cache="슬라이서_시·군·구" caption="SL_시군구" rowHeight="285750"/>
  <slicer name="SL_시도" xr10:uid="{AB181959-D214-446B-B398-90CE200C1DAD}" cache="슬라이서_시도" caption="SL_시도" rowHeight="285750"/>
  <slicer name="SL_최근7일" xr10:uid="{459F150C-5431-43FD-8000-2F5B6AC36676}" cache="슬라이서_최근_7일" caption="SL_최근7일" rowHeight="285750"/>
  <slicer name="SL_신규" xr10:uid="{C25301D9-F572-4BD1-9A37-5F49990398B4}" cache="슬라이서_신규" caption="SL_신규" rowHeight="2857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3CB1B9-9B1D-426A-82C0-0C35D2757A0A}" name="TBL_LENDER" displayName="TBL_LENDER" ref="A500:X532" totalsRowShown="0" headerRowDxfId="25" dataDxfId="24">
  <autoFilter ref="A500:X532" xr:uid="{E93CB1B9-9B1D-426A-82C0-0C35D2757A0A}"/>
  <tableColumns count="24">
    <tableColumn id="1" xr3:uid="{DA39339D-0387-44B5-AD53-AE5654C5BD95}" name="연번" dataDxfId="23"/>
    <tableColumn id="2" xr3:uid="{62239EDE-A959-45FD-BBBB-203CDB0A28BF}" name="채권자 구분" dataDxfId="22"/>
    <tableColumn id="3" xr3:uid="{9B169E80-FE2E-4B56-9FD2-4EDE901ADD71}" name="채권자" dataDxfId="21"/>
    <tableColumn id="4" xr3:uid="{A4D1B9E3-489E-45C2-8541-88E43CAAAB1B}" name="시도" dataDxfId="20"/>
    <tableColumn id="5" xr3:uid="{E3513506-37A8-47CF-BF0C-FBBE2195E0E0}" name="시·군·구" dataDxfId="19"/>
    <tableColumn id="6" xr3:uid="{450ECD81-A7EA-4976-8ACB-3A06988E3D4F}" name="법원" dataDxfId="18"/>
    <tableColumn id="7" xr3:uid="{AB08A5D9-BC70-436F-930D-CC83615B9FC1}" name="담당계" dataDxfId="17"/>
    <tableColumn id="8" xr3:uid="{1A321CC6-8785-4EB9-9000-1A8877F012D3}" name="사건번호" dataDxfId="16"/>
    <tableColumn id="9" xr3:uid="{655AF0BD-0991-405B-84F4-D633B81601BD}" name="경매구분" dataDxfId="15"/>
    <tableColumn id="10" xr3:uid="{AC3FE31E-28FC-4569-9657-F97DC4ECCB27}" name="용도" dataDxfId="14"/>
    <tableColumn id="11" xr3:uid="{A6C16685-D4EF-4B1E-9752-9592B77557AE}" name="용도군" dataDxfId="13"/>
    <tableColumn id="12" xr3:uid="{5644986A-C998-4F33-B1B1-551DA9D2A5DC}" name="물건 소재지" dataDxfId="12"/>
    <tableColumn id="13" xr3:uid="{3AF57549-5A3B-453C-89D3-E758AEA65609}" name="채무자" dataDxfId="11"/>
    <tableColumn id="14" xr3:uid="{62B28041-81D7-4912-8091-C3D5A81DB13C}" name="소유자" dataDxfId="10"/>
    <tableColumn id="15" xr3:uid="{8350C18E-3A6B-48C1-BDCB-F755D82E769C}" name="청구액(원)" dataDxfId="9"/>
    <tableColumn id="16" xr3:uid="{0A960140-7EDD-4A48-803C-40EE2F797347}" name="감정가(원)" dataDxfId="8"/>
    <tableColumn id="17" xr3:uid="{00C70701-2487-46CA-B6FD-2C1AB6D0A130}" name="청구액 규모대" dataDxfId="7"/>
    <tableColumn id="18" xr3:uid="{A1695A4A-AB64-4C6D-92B0-298395392BFB}" name="경매개시일" dataDxfId="6"/>
    <tableColumn id="19" xr3:uid="{965EE9D3-B62D-473B-B90A-81A050D38E5A}" name="경과일" dataDxfId="5"/>
    <tableColumn id="20" xr3:uid="{3A75F6F1-CE35-4203-B9D1-DBD644272046}" name="최근 7일" dataDxfId="4"/>
    <tableColumn id="21" xr3:uid="{BAFD7B70-194B-4F08-B733-254D60A662E8}" name="신규" dataDxfId="3"/>
    <tableColumn id="22" xr3:uid="{259BE4D1-721C-46D4-BCCA-FD0438CAAE66}" name="배당요구종기" dataDxfId="2"/>
    <tableColumn id="23" xr3:uid="{0A3728B3-34CA-4463-9884-F0A734889C04}" name="상태" dataDxfId="1"/>
    <tableColumn id="24" xr3:uid="{6C31E9AB-6380-458E-8E55-EBE37D211615}" name="수집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2"/>
  <sheetViews>
    <sheetView showGridLines="0" tabSelected="1" workbookViewId="0">
      <pane ySplit="14" topLeftCell="A15" activePane="bottomLeft" state="frozen"/>
      <selection pane="bottomLeft" activeCell="L12" sqref="L12"/>
    </sheetView>
  </sheetViews>
  <sheetFormatPr defaultRowHeight="17.399999999999999"/>
  <cols>
    <col min="1" max="1" width="6" customWidth="1"/>
    <col min="2" max="2" width="13" customWidth="1"/>
    <col min="3" max="3" width="20" customWidth="1"/>
    <col min="4" max="4" width="7" customWidth="1"/>
    <col min="5" max="5" width="12" customWidth="1"/>
    <col min="6" max="6" width="10" customWidth="1"/>
    <col min="7" max="7" width="9" customWidth="1"/>
    <col min="8" max="8" width="13" customWidth="1"/>
    <col min="9" max="9" width="11" customWidth="1"/>
    <col min="10" max="10" width="16" customWidth="1"/>
    <col min="11" max="11" width="11" customWidth="1"/>
    <col min="12" max="12" width="54" customWidth="1"/>
    <col min="13" max="14" width="12" customWidth="1"/>
    <col min="15" max="16" width="17" customWidth="1"/>
    <col min="17" max="17" width="26" customWidth="1"/>
    <col min="18" max="18" width="12" customWidth="1"/>
    <col min="19" max="19" width="8" customWidth="1"/>
    <col min="20" max="20" width="10" customWidth="1"/>
    <col min="21" max="21" width="9" customWidth="1"/>
    <col min="22" max="22" width="14" customWidth="1"/>
    <col min="23" max="23" width="8" customWidth="1"/>
    <col min="24" max="24" width="12" customWidth="1"/>
    <col min="26" max="26" width="13" customWidth="1"/>
  </cols>
  <sheetData>
    <row r="1" spans="1:24" ht="22.05" customHeight="1">
      <c r="B1" s="1" t="s">
        <v>0</v>
      </c>
    </row>
    <row r="2" spans="1:24">
      <c r="B2" s="2" t="s">
        <v>1</v>
      </c>
    </row>
    <row r="3" spans="1:24">
      <c r="B3" t="s">
        <v>223</v>
      </c>
    </row>
    <row r="4" spans="1:24" ht="24" customHeight="1">
      <c r="B4" s="3" t="s">
        <v>2</v>
      </c>
      <c r="C4" s="4">
        <f>SUBTOTAL(103,TBL_LENDER[사건번호])</f>
        <v>32</v>
      </c>
    </row>
    <row r="5" spans="1:24" ht="24" customHeight="1">
      <c r="B5" s="3" t="s">
        <v>3</v>
      </c>
      <c r="C5" s="4">
        <f>SUBTOTAL(109,TBL_LENDER[청구액(원)])</f>
        <v>42031450000</v>
      </c>
    </row>
    <row r="6" spans="1:24" ht="24" customHeight="1">
      <c r="B6" s="3" t="s">
        <v>4</v>
      </c>
      <c r="C6" s="4">
        <f>IFERROR(ROUND(SUBTOTAL(101,TBL_LENDER[청구액(원)]),0),0)</f>
        <v>1313482813</v>
      </c>
    </row>
    <row r="7" spans="1:24" ht="24" customHeight="1">
      <c r="B7" s="3" t="s">
        <v>5</v>
      </c>
      <c r="C7" s="4">
        <f>IFERROR(SUBTOTAL(104,TBL_LENDER[청구액(원)]),0)</f>
        <v>6134380000</v>
      </c>
    </row>
    <row r="8" spans="1:24" ht="24" customHeight="1">
      <c r="B8" s="3" t="s">
        <v>6</v>
      </c>
      <c r="C8" s="4">
        <f>SUBTOTAL(109,TBL_LENDER[감정가(원)])</f>
        <v>71917860000</v>
      </c>
    </row>
    <row r="9" spans="1:24" ht="24" customHeight="1">
      <c r="B9" s="3" t="s">
        <v>7</v>
      </c>
      <c r="C9" s="5">
        <f>IFERROR(ROUND(SUBTOTAL(103,TBL_LENDER[사건번호])/COUNTA(TBL_LENDER[사건번호])*100,1),0)</f>
        <v>100</v>
      </c>
    </row>
    <row r="10" spans="1:24" ht="19.95" customHeight="1"/>
    <row r="11" spans="1:24" ht="19.95" customHeight="1"/>
    <row r="12" spans="1:24" ht="19.95" customHeight="1"/>
    <row r="13" spans="1:24">
      <c r="B13" s="6" t="s">
        <v>8</v>
      </c>
    </row>
    <row r="14" spans="1:24">
      <c r="A14" s="7" t="s">
        <v>9</v>
      </c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7" t="s">
        <v>16</v>
      </c>
      <c r="I14" s="7" t="s">
        <v>17</v>
      </c>
      <c r="J14" s="7" t="s">
        <v>18</v>
      </c>
      <c r="K14" s="7" t="s">
        <v>19</v>
      </c>
      <c r="L14" s="7" t="s">
        <v>20</v>
      </c>
      <c r="M14" s="7" t="s">
        <v>21</v>
      </c>
      <c r="N14" s="7" t="s">
        <v>22</v>
      </c>
      <c r="O14" s="7" t="s">
        <v>23</v>
      </c>
      <c r="P14" s="7" t="s">
        <v>24</v>
      </c>
      <c r="Q14" s="7" t="s">
        <v>25</v>
      </c>
      <c r="R14" s="7" t="s">
        <v>26</v>
      </c>
      <c r="S14" s="7" t="s">
        <v>27</v>
      </c>
      <c r="T14" s="7" t="s">
        <v>28</v>
      </c>
      <c r="U14" s="7" t="s">
        <v>29</v>
      </c>
      <c r="V14" s="7" t="s">
        <v>30</v>
      </c>
      <c r="W14" s="7" t="s">
        <v>31</v>
      </c>
      <c r="X14" s="7" t="s">
        <v>32</v>
      </c>
    </row>
    <row r="15" spans="1:24">
      <c r="A15" s="8" cm="1">
        <f t="array" ref="A15:X46">_xlfn.LET(_xlpm.a,_xlfn._xlws.FILTER($A$501:$X$532,$Z$501:$Z$532=1,""),IF(_xlpm.a="","",_xlpm.a))</f>
        <v>1</v>
      </c>
      <c r="B15" s="9" t="str">
        <v>신협</v>
      </c>
      <c r="C15" s="9" t="str">
        <v>신협 1지점</v>
      </c>
      <c r="D15" s="9" t="str">
        <v>서울</v>
      </c>
      <c r="E15" s="9" t="str">
        <v>관악구</v>
      </c>
      <c r="F15" s="9" t="str">
        <v>중앙</v>
      </c>
      <c r="G15" s="9" t="str">
        <v>10계</v>
      </c>
      <c r="H15" s="9" t="str">
        <v>2026-00001</v>
      </c>
      <c r="I15" s="9" t="str">
        <v>임의경매</v>
      </c>
      <c r="J15" s="9" t="str">
        <v>근린시설</v>
      </c>
      <c r="K15" s="9" t="str">
        <v>상업·업무</v>
      </c>
      <c r="L15" s="9" t="str">
        <v>서울 관악구 봉천동</v>
      </c>
      <c r="M15" s="9" t="str">
        <v>홍○○</v>
      </c>
      <c r="N15" s="9" t="str">
        <v>홍○○</v>
      </c>
      <c r="O15" s="10">
        <v>34350000</v>
      </c>
      <c r="P15" s="10">
        <v>31610000</v>
      </c>
      <c r="Q15" s="9" t="str">
        <v>① 100,000,000원 미만</v>
      </c>
      <c r="R15" s="11">
        <v>46224</v>
      </c>
      <c r="S15" s="8">
        <v>21</v>
      </c>
      <c r="T15" s="9" t="str">
        <v>해당없음</v>
      </c>
      <c r="U15" s="9" t="str">
        <v>신규</v>
      </c>
      <c r="V15" s="11">
        <v>46296</v>
      </c>
      <c r="W15" s="9" t="str">
        <v>대기</v>
      </c>
      <c r="X15" s="11">
        <v>46245</v>
      </c>
    </row>
    <row r="16" spans="1:24">
      <c r="A16" s="8">
        <v>2</v>
      </c>
      <c r="B16" s="9" t="str">
        <v>신협</v>
      </c>
      <c r="C16" s="9" t="str">
        <v>신협 2지점</v>
      </c>
      <c r="D16" s="9" t="str">
        <v>서울</v>
      </c>
      <c r="E16" s="9" t="str">
        <v>용산구</v>
      </c>
      <c r="F16" s="9" t="str">
        <v>서부</v>
      </c>
      <c r="G16" s="9" t="str">
        <v>1계</v>
      </c>
      <c r="H16" s="9" t="str">
        <v>2026-00002</v>
      </c>
      <c r="I16" s="9" t="str">
        <v>임의경매</v>
      </c>
      <c r="J16" s="9" t="str">
        <v>상가</v>
      </c>
      <c r="K16" s="9" t="str">
        <v>상업·업무</v>
      </c>
      <c r="L16" s="9" t="str">
        <v>서울 용산구 원효로</v>
      </c>
      <c r="M16" s="9" t="str">
        <v>홍○○</v>
      </c>
      <c r="N16" s="9" t="str">
        <v>홍○○</v>
      </c>
      <c r="O16" s="10">
        <v>247220000</v>
      </c>
      <c r="P16" s="10">
        <v>562830000</v>
      </c>
      <c r="Q16" s="9" t="str">
        <v>② 100,000,000~300,000,000원</v>
      </c>
      <c r="R16" s="11">
        <v>46225</v>
      </c>
      <c r="S16" s="8">
        <v>20</v>
      </c>
      <c r="T16" s="9" t="str">
        <v>해당없음</v>
      </c>
      <c r="U16" s="9" t="str">
        <v>신규</v>
      </c>
      <c r="V16" s="11">
        <v>46297</v>
      </c>
      <c r="W16" s="9" t="str">
        <v>취하</v>
      </c>
      <c r="X16" s="11">
        <v>46245</v>
      </c>
    </row>
    <row r="17" spans="1:24">
      <c r="A17" s="8">
        <v>3</v>
      </c>
      <c r="B17" s="9" t="str">
        <v>신협</v>
      </c>
      <c r="C17" s="9" t="str">
        <v>신협 3지점</v>
      </c>
      <c r="D17" s="9" t="str">
        <v>서울</v>
      </c>
      <c r="E17" s="9" t="str">
        <v>강남구</v>
      </c>
      <c r="F17" s="9" t="str">
        <v>중앙</v>
      </c>
      <c r="G17" s="9" t="str">
        <v>9계</v>
      </c>
      <c r="H17" s="9" t="str">
        <v>2026-00003</v>
      </c>
      <c r="I17" s="9" t="str">
        <v>임의경매</v>
      </c>
      <c r="J17" s="9" t="str">
        <v>오피스텔</v>
      </c>
      <c r="K17" s="9" t="str">
        <v>오피스텔</v>
      </c>
      <c r="L17" s="9" t="str">
        <v>서울 강남구 역삼동</v>
      </c>
      <c r="M17" s="9" t="str">
        <v>홍○○</v>
      </c>
      <c r="N17" s="9" t="str">
        <v>홍○○</v>
      </c>
      <c r="O17" s="10">
        <v>407370000</v>
      </c>
      <c r="P17" s="10">
        <v>502200000</v>
      </c>
      <c r="Q17" s="9" t="str">
        <v>③ 300,000,000~500,000,000원</v>
      </c>
      <c r="R17" s="11">
        <v>46217</v>
      </c>
      <c r="S17" s="8">
        <v>28</v>
      </c>
      <c r="T17" s="9" t="str">
        <v>해당없음</v>
      </c>
      <c r="U17" s="9" t="str">
        <v>신규</v>
      </c>
      <c r="V17" s="11">
        <v>46303</v>
      </c>
      <c r="W17" s="9" t="str">
        <v>대기</v>
      </c>
      <c r="X17" s="11">
        <v>46245</v>
      </c>
    </row>
    <row r="18" spans="1:24">
      <c r="A18" s="8">
        <v>4</v>
      </c>
      <c r="B18" s="9" t="str">
        <v>신협</v>
      </c>
      <c r="C18" s="9" t="str">
        <v>신협 4지점</v>
      </c>
      <c r="D18" s="9" t="str">
        <v>서울</v>
      </c>
      <c r="E18" s="9" t="str">
        <v>송파구</v>
      </c>
      <c r="F18" s="9" t="str">
        <v>동부</v>
      </c>
      <c r="G18" s="9" t="str">
        <v>3계</v>
      </c>
      <c r="H18" s="9" t="str">
        <v>2026-00004</v>
      </c>
      <c r="I18" s="9" t="str">
        <v>임의경매</v>
      </c>
      <c r="J18" s="9" t="str">
        <v>아파트</v>
      </c>
      <c r="K18" s="9" t="str">
        <v>주거</v>
      </c>
      <c r="L18" s="9" t="str">
        <v>서울 송파구 가락동</v>
      </c>
      <c r="M18" s="9" t="str">
        <v>홍○○</v>
      </c>
      <c r="N18" s="9" t="str">
        <v>홍○○</v>
      </c>
      <c r="O18" s="10">
        <v>835580000</v>
      </c>
      <c r="P18" s="10">
        <v>942090000</v>
      </c>
      <c r="Q18" s="9" t="str">
        <v>④ 500,000,000~1,000,000,000원</v>
      </c>
      <c r="R18" s="11">
        <v>46225</v>
      </c>
      <c r="S18" s="8">
        <v>20</v>
      </c>
      <c r="T18" s="9" t="str">
        <v>해당없음</v>
      </c>
      <c r="U18" s="9" t="str">
        <v>신규</v>
      </c>
      <c r="V18" s="11">
        <v>46307</v>
      </c>
      <c r="W18" s="9" t="str">
        <v>대기</v>
      </c>
      <c r="X18" s="11">
        <v>46245</v>
      </c>
    </row>
    <row r="19" spans="1:24">
      <c r="A19" s="8">
        <v>5</v>
      </c>
      <c r="B19" s="9" t="str">
        <v>신협</v>
      </c>
      <c r="C19" s="9" t="str">
        <v>신협 5지점</v>
      </c>
      <c r="D19" s="9" t="str">
        <v>서울</v>
      </c>
      <c r="E19" s="9" t="str">
        <v>광진구</v>
      </c>
      <c r="F19" s="9" t="str">
        <v>동부</v>
      </c>
      <c r="G19" s="9" t="str">
        <v>1계</v>
      </c>
      <c r="H19" s="9" t="str">
        <v>2026-00005</v>
      </c>
      <c r="I19" s="9" t="str">
        <v>임의경매</v>
      </c>
      <c r="J19" s="9" t="str">
        <v>근린시설</v>
      </c>
      <c r="K19" s="9" t="str">
        <v>상업·업무</v>
      </c>
      <c r="L19" s="9" t="str">
        <v>서울 광진구 중곡동</v>
      </c>
      <c r="M19" s="9" t="str">
        <v>홍○○</v>
      </c>
      <c r="N19" s="9" t="str">
        <v>홍○○</v>
      </c>
      <c r="O19" s="10">
        <v>2877450000</v>
      </c>
      <c r="P19" s="10">
        <v>4707120000</v>
      </c>
      <c r="Q19" s="9" t="str">
        <v>⑤ 1,000,000,000~3,000,000,000원</v>
      </c>
      <c r="R19" s="11">
        <v>46231</v>
      </c>
      <c r="S19" s="8">
        <v>14</v>
      </c>
      <c r="T19" s="9" t="str">
        <v>해당없음</v>
      </c>
      <c r="U19" s="9" t="str">
        <v>신규</v>
      </c>
      <c r="V19" s="11">
        <v>46307</v>
      </c>
      <c r="W19" s="9" t="str">
        <v>대기</v>
      </c>
      <c r="X19" s="11">
        <v>46245</v>
      </c>
    </row>
    <row r="20" spans="1:24">
      <c r="A20" s="8">
        <v>6</v>
      </c>
      <c r="B20" s="9" t="str">
        <v>신협</v>
      </c>
      <c r="C20" s="9" t="str">
        <v>신협 6지점</v>
      </c>
      <c r="D20" s="9" t="str">
        <v>서울</v>
      </c>
      <c r="E20" s="9" t="str">
        <v>금천구</v>
      </c>
      <c r="F20" s="9" t="str">
        <v>남부</v>
      </c>
      <c r="G20" s="9" t="str">
        <v>9계</v>
      </c>
      <c r="H20" s="9" t="str">
        <v>2026-00006</v>
      </c>
      <c r="I20" s="9" t="str">
        <v>임의경매</v>
      </c>
      <c r="J20" s="9" t="str">
        <v>근린주택</v>
      </c>
      <c r="K20" s="9" t="str">
        <v>주거</v>
      </c>
      <c r="L20" s="9" t="str">
        <v>서울 금천구 독산동</v>
      </c>
      <c r="M20" s="9" t="str">
        <v>홍○○</v>
      </c>
      <c r="N20" s="9" t="str">
        <v>홍○○</v>
      </c>
      <c r="O20" s="10">
        <v>4975500000</v>
      </c>
      <c r="P20" s="10">
        <v>5537750000</v>
      </c>
      <c r="Q20" s="9" t="str">
        <v>⑥ 3,000,000,000원 이상</v>
      </c>
      <c r="R20" s="11">
        <v>46225</v>
      </c>
      <c r="S20" s="8">
        <v>20</v>
      </c>
      <c r="T20" s="9" t="str">
        <v>해당없음</v>
      </c>
      <c r="U20" s="9" t="str">
        <v>신규</v>
      </c>
      <c r="V20" s="11">
        <v>46316</v>
      </c>
      <c r="W20" s="9" t="str">
        <v>대기</v>
      </c>
      <c r="X20" s="11">
        <v>46245</v>
      </c>
    </row>
    <row r="21" spans="1:24">
      <c r="A21" s="8">
        <v>7</v>
      </c>
      <c r="B21" s="9" t="str">
        <v>신협</v>
      </c>
      <c r="C21" s="9" t="str">
        <v>신협 7지점</v>
      </c>
      <c r="D21" s="9" t="str">
        <v>서울</v>
      </c>
      <c r="E21" s="9" t="str">
        <v>강서구</v>
      </c>
      <c r="F21" s="9" t="str">
        <v>남부</v>
      </c>
      <c r="G21" s="9" t="str">
        <v>10계</v>
      </c>
      <c r="H21" s="9" t="str">
        <v>2026-00007</v>
      </c>
      <c r="I21" s="9" t="str">
        <v>임의경매</v>
      </c>
      <c r="J21" s="9" t="str">
        <v>상가</v>
      </c>
      <c r="K21" s="9" t="str">
        <v>상업·업무</v>
      </c>
      <c r="L21" s="9" t="str">
        <v>서울 강서구 마곡동</v>
      </c>
      <c r="M21" s="9" t="str">
        <v>홍○○</v>
      </c>
      <c r="N21" s="9" t="str">
        <v>홍○○</v>
      </c>
      <c r="O21" s="10">
        <v>79010000</v>
      </c>
      <c r="P21" s="10">
        <v>92000000</v>
      </c>
      <c r="Q21" s="9" t="str">
        <v>① 100,000,000원 미만</v>
      </c>
      <c r="R21" s="11">
        <v>46238</v>
      </c>
      <c r="S21" s="8">
        <v>7</v>
      </c>
      <c r="T21" s="9" t="str">
        <v>해당</v>
      </c>
      <c r="U21" s="9" t="str">
        <v>신규</v>
      </c>
      <c r="V21" s="11">
        <v>46329</v>
      </c>
      <c r="W21" s="9" t="str">
        <v>대기</v>
      </c>
      <c r="X21" s="11">
        <v>46245</v>
      </c>
    </row>
    <row r="22" spans="1:24">
      <c r="A22" s="8">
        <v>8</v>
      </c>
      <c r="B22" s="9" t="str">
        <v>신협</v>
      </c>
      <c r="C22" s="9" t="str">
        <v>신협 8지점</v>
      </c>
      <c r="D22" s="9" t="str">
        <v>서울</v>
      </c>
      <c r="E22" s="9" t="str">
        <v>송파구</v>
      </c>
      <c r="F22" s="9" t="str">
        <v>동부</v>
      </c>
      <c r="G22" s="9" t="str">
        <v>4계</v>
      </c>
      <c r="H22" s="9" t="str">
        <v>2026-00008</v>
      </c>
      <c r="I22" s="9" t="str">
        <v>임의경매</v>
      </c>
      <c r="J22" s="9" t="str">
        <v>상가</v>
      </c>
      <c r="K22" s="9" t="str">
        <v>상업·업무</v>
      </c>
      <c r="L22" s="9" t="str">
        <v>서울 송파구 장지동</v>
      </c>
      <c r="M22" s="9" t="str">
        <v>홍○○</v>
      </c>
      <c r="N22" s="9" t="str">
        <v>홍○○</v>
      </c>
      <c r="O22" s="10">
        <v>206960000</v>
      </c>
      <c r="P22" s="10">
        <v>264530000</v>
      </c>
      <c r="Q22" s="9" t="str">
        <v>② 100,000,000~300,000,000원</v>
      </c>
      <c r="R22" s="11">
        <v>46233</v>
      </c>
      <c r="S22" s="8">
        <v>12</v>
      </c>
      <c r="T22" s="9" t="str">
        <v>해당없음</v>
      </c>
      <c r="U22" s="9" t="str">
        <v>신규</v>
      </c>
      <c r="V22" s="11">
        <v>46309</v>
      </c>
      <c r="W22" s="9" t="str">
        <v>대기</v>
      </c>
      <c r="X22" s="11">
        <v>46245</v>
      </c>
    </row>
    <row r="23" spans="1:24">
      <c r="A23" s="8">
        <v>9</v>
      </c>
      <c r="B23" s="9" t="str">
        <v>저축은행</v>
      </c>
      <c r="C23" s="9" t="str">
        <v>저축은행 1지점</v>
      </c>
      <c r="D23" s="9" t="str">
        <v>서울</v>
      </c>
      <c r="E23" s="9" t="str">
        <v>관악구</v>
      </c>
      <c r="F23" s="9" t="str">
        <v>중앙</v>
      </c>
      <c r="G23" s="9" t="str">
        <v>21계</v>
      </c>
      <c r="H23" s="9" t="str">
        <v>2026-00009</v>
      </c>
      <c r="I23" s="9" t="str">
        <v>임의경매</v>
      </c>
      <c r="J23" s="9" t="str">
        <v>근린주택</v>
      </c>
      <c r="K23" s="9" t="str">
        <v>주거</v>
      </c>
      <c r="L23" s="9" t="str">
        <v>서울 관악구 남현동</v>
      </c>
      <c r="M23" s="9" t="str">
        <v>홍○○</v>
      </c>
      <c r="N23" s="9" t="str">
        <v>홍○○</v>
      </c>
      <c r="O23" s="10">
        <v>361040000</v>
      </c>
      <c r="P23" s="10">
        <v>800160000</v>
      </c>
      <c r="Q23" s="9" t="str">
        <v>③ 300,000,000~500,000,000원</v>
      </c>
      <c r="R23" s="11">
        <v>46217</v>
      </c>
      <c r="S23" s="8">
        <v>28</v>
      </c>
      <c r="T23" s="9" t="str">
        <v>해당없음</v>
      </c>
      <c r="U23" s="9" t="str">
        <v>신규</v>
      </c>
      <c r="V23" s="11">
        <v>46311</v>
      </c>
      <c r="W23" s="9" t="str">
        <v>대기</v>
      </c>
      <c r="X23" s="11">
        <v>46245</v>
      </c>
    </row>
    <row r="24" spans="1:24">
      <c r="A24" s="8">
        <v>10</v>
      </c>
      <c r="B24" s="9" t="str">
        <v>저축은행</v>
      </c>
      <c r="C24" s="9" t="str">
        <v>저축은행 2지점</v>
      </c>
      <c r="D24" s="9" t="str">
        <v>서울</v>
      </c>
      <c r="E24" s="9" t="str">
        <v>강서구</v>
      </c>
      <c r="F24" s="9" t="str">
        <v>남부</v>
      </c>
      <c r="G24" s="9" t="str">
        <v>5계</v>
      </c>
      <c r="H24" s="9" t="str">
        <v>2026-00010</v>
      </c>
      <c r="I24" s="9" t="str">
        <v>임의경매</v>
      </c>
      <c r="J24" s="9" t="str">
        <v>상가</v>
      </c>
      <c r="K24" s="9" t="str">
        <v>상업·업무</v>
      </c>
      <c r="L24" s="9" t="str">
        <v>서울 강서구 방화동</v>
      </c>
      <c r="M24" s="9" t="str">
        <v>홍○○</v>
      </c>
      <c r="N24" s="9" t="str">
        <v>홍○○</v>
      </c>
      <c r="O24" s="10">
        <v>879400000</v>
      </c>
      <c r="P24" s="10">
        <v>987510000</v>
      </c>
      <c r="Q24" s="9" t="str">
        <v>④ 500,000,000~1,000,000,000원</v>
      </c>
      <c r="R24" s="11">
        <v>46217</v>
      </c>
      <c r="S24" s="8">
        <v>28</v>
      </c>
      <c r="T24" s="9" t="str">
        <v>해당없음</v>
      </c>
      <c r="U24" s="9" t="str">
        <v>신규</v>
      </c>
      <c r="V24" s="11">
        <v>46308</v>
      </c>
      <c r="W24" s="9" t="str">
        <v>대기</v>
      </c>
      <c r="X24" s="11">
        <v>46245</v>
      </c>
    </row>
    <row r="25" spans="1:24">
      <c r="A25" s="8">
        <v>11</v>
      </c>
      <c r="B25" s="9" t="str">
        <v>저축은행</v>
      </c>
      <c r="C25" s="9" t="str">
        <v>저축은행 3지점</v>
      </c>
      <c r="D25" s="9" t="str">
        <v>서울</v>
      </c>
      <c r="E25" s="9" t="str">
        <v>은평구</v>
      </c>
      <c r="F25" s="9" t="str">
        <v>서부</v>
      </c>
      <c r="G25" s="9" t="str">
        <v>6계</v>
      </c>
      <c r="H25" s="9" t="str">
        <v>2026-00011</v>
      </c>
      <c r="I25" s="9" t="str">
        <v>임의경매</v>
      </c>
      <c r="J25" s="9" t="str">
        <v>대지</v>
      </c>
      <c r="K25" s="9" t="str">
        <v>토지</v>
      </c>
      <c r="L25" s="9" t="str">
        <v>서울 은평구 불광동</v>
      </c>
      <c r="M25" s="9" t="str">
        <v>홍○○</v>
      </c>
      <c r="N25" s="9" t="str">
        <v>홍○○</v>
      </c>
      <c r="O25" s="10">
        <v>2670750000</v>
      </c>
      <c r="P25" s="10">
        <v>4690640000</v>
      </c>
      <c r="Q25" s="9" t="str">
        <v>⑤ 1,000,000,000~3,000,000,000원</v>
      </c>
      <c r="R25" s="11">
        <v>46223</v>
      </c>
      <c r="S25" s="8">
        <v>22</v>
      </c>
      <c r="T25" s="9" t="str">
        <v>해당없음</v>
      </c>
      <c r="U25" s="9" t="str">
        <v>신규</v>
      </c>
      <c r="V25" s="11">
        <v>46297</v>
      </c>
      <c r="W25" s="9" t="str">
        <v>대기</v>
      </c>
      <c r="X25" s="11">
        <v>46245</v>
      </c>
    </row>
    <row r="26" spans="1:24">
      <c r="A26" s="8">
        <v>12</v>
      </c>
      <c r="B26" s="9" t="str">
        <v>저축은행</v>
      </c>
      <c r="C26" s="9" t="str">
        <v>저축은행 4지점</v>
      </c>
      <c r="D26" s="9" t="str">
        <v>서울</v>
      </c>
      <c r="E26" s="9" t="str">
        <v>도봉구</v>
      </c>
      <c r="F26" s="9" t="str">
        <v>북부</v>
      </c>
      <c r="G26" s="9" t="str">
        <v>3계</v>
      </c>
      <c r="H26" s="9" t="str">
        <v>2026-00012</v>
      </c>
      <c r="I26" s="9" t="str">
        <v>임의경매</v>
      </c>
      <c r="J26" s="9" t="str">
        <v>오피스텔</v>
      </c>
      <c r="K26" s="9" t="str">
        <v>오피스텔</v>
      </c>
      <c r="L26" s="9" t="str">
        <v>서울 도봉구 창동</v>
      </c>
      <c r="M26" s="9" t="str">
        <v>홍○○</v>
      </c>
      <c r="N26" s="9" t="str">
        <v>홍○○</v>
      </c>
      <c r="O26" s="10">
        <v>3434740000</v>
      </c>
      <c r="P26" s="10">
        <v>5697680000</v>
      </c>
      <c r="Q26" s="9" t="str">
        <v>⑥ 3,000,000,000원 이상</v>
      </c>
      <c r="R26" s="11">
        <v>46227</v>
      </c>
      <c r="S26" s="8">
        <v>18</v>
      </c>
      <c r="T26" s="9" t="str">
        <v>해당없음</v>
      </c>
      <c r="U26" s="9" t="str">
        <v>신규</v>
      </c>
      <c r="V26" s="11">
        <v>46307</v>
      </c>
      <c r="W26" s="9" t="str">
        <v>대기</v>
      </c>
      <c r="X26" s="11">
        <v>46245</v>
      </c>
    </row>
    <row r="27" spans="1:24">
      <c r="A27" s="8">
        <v>13</v>
      </c>
      <c r="B27" s="9" t="str">
        <v>저축은행</v>
      </c>
      <c r="C27" s="9" t="str">
        <v>저축은행 5지점</v>
      </c>
      <c r="D27" s="9" t="str">
        <v>서울</v>
      </c>
      <c r="E27" s="9" t="str">
        <v>영등포구</v>
      </c>
      <c r="F27" s="9" t="str">
        <v>남부</v>
      </c>
      <c r="G27" s="9" t="str">
        <v>12계</v>
      </c>
      <c r="H27" s="9" t="str">
        <v>2026-00013</v>
      </c>
      <c r="I27" s="9" t="str">
        <v>임의경매</v>
      </c>
      <c r="J27" s="9" t="str">
        <v>다세대</v>
      </c>
      <c r="K27" s="9" t="str">
        <v>주거</v>
      </c>
      <c r="L27" s="9" t="str">
        <v>서울 영등포구 당산동</v>
      </c>
      <c r="M27" s="9" t="str">
        <v>홍○○</v>
      </c>
      <c r="N27" s="9" t="str">
        <v>홍○○</v>
      </c>
      <c r="O27" s="10">
        <v>48880000</v>
      </c>
      <c r="P27" s="10">
        <v>69080000</v>
      </c>
      <c r="Q27" s="9" t="str">
        <v>① 100,000,000원 미만</v>
      </c>
      <c r="R27" s="11">
        <v>46230</v>
      </c>
      <c r="S27" s="8">
        <v>15</v>
      </c>
      <c r="T27" s="9" t="str">
        <v>해당없음</v>
      </c>
      <c r="U27" s="9" t="str">
        <v>신규</v>
      </c>
      <c r="V27" s="11">
        <v>46322</v>
      </c>
      <c r="W27" s="9" t="str">
        <v>대기</v>
      </c>
      <c r="X27" s="11">
        <v>46245</v>
      </c>
    </row>
    <row r="28" spans="1:24">
      <c r="A28" s="8">
        <v>14</v>
      </c>
      <c r="B28" s="9" t="str">
        <v>저축은행</v>
      </c>
      <c r="C28" s="9" t="str">
        <v>저축은행 6지점</v>
      </c>
      <c r="D28" s="9" t="str">
        <v>서울</v>
      </c>
      <c r="E28" s="9" t="str">
        <v>광진구</v>
      </c>
      <c r="F28" s="9" t="str">
        <v>동부</v>
      </c>
      <c r="G28" s="9" t="str">
        <v>5계</v>
      </c>
      <c r="H28" s="9" t="str">
        <v>2026-00014</v>
      </c>
      <c r="I28" s="9" t="str">
        <v>임의경매</v>
      </c>
      <c r="J28" s="9" t="str">
        <v>다세대(생활주택)</v>
      </c>
      <c r="K28" s="9" t="str">
        <v>주거</v>
      </c>
      <c r="L28" s="9" t="str">
        <v>서울 광진구 중곡동</v>
      </c>
      <c r="M28" s="9" t="str">
        <v>홍○○</v>
      </c>
      <c r="N28" s="9" t="str">
        <v>홍○○</v>
      </c>
      <c r="O28" s="10">
        <v>261540000</v>
      </c>
      <c r="P28" s="10">
        <v>404040000</v>
      </c>
      <c r="Q28" s="9" t="str">
        <v>② 100,000,000~300,000,000원</v>
      </c>
      <c r="R28" s="11">
        <v>46225</v>
      </c>
      <c r="S28" s="8">
        <v>20</v>
      </c>
      <c r="T28" s="9" t="str">
        <v>해당없음</v>
      </c>
      <c r="U28" s="9" t="str">
        <v>신규</v>
      </c>
      <c r="V28" s="11">
        <v>46307</v>
      </c>
      <c r="W28" s="9" t="str">
        <v>대기</v>
      </c>
      <c r="X28" s="11">
        <v>46245</v>
      </c>
    </row>
    <row r="29" spans="1:24">
      <c r="A29" s="8">
        <v>15</v>
      </c>
      <c r="B29" s="9" t="str">
        <v>저축은행</v>
      </c>
      <c r="C29" s="9" t="str">
        <v>저축은행 7지점</v>
      </c>
      <c r="D29" s="9" t="str">
        <v>서울</v>
      </c>
      <c r="E29" s="9" t="str">
        <v>금천구</v>
      </c>
      <c r="F29" s="9" t="str">
        <v>남부</v>
      </c>
      <c r="G29" s="9" t="str">
        <v>2계</v>
      </c>
      <c r="H29" s="9" t="str">
        <v>2026-00015</v>
      </c>
      <c r="I29" s="9" t="str">
        <v>임의경매</v>
      </c>
      <c r="J29" s="9" t="str">
        <v>오피스텔</v>
      </c>
      <c r="K29" s="9" t="str">
        <v>오피스텔</v>
      </c>
      <c r="L29" s="9" t="str">
        <v>서울 금천구 가산동</v>
      </c>
      <c r="M29" s="9" t="str">
        <v>홍○○</v>
      </c>
      <c r="N29" s="9" t="str">
        <v>홍○○</v>
      </c>
      <c r="O29" s="10">
        <v>359640000</v>
      </c>
      <c r="P29" s="10">
        <v>697460000</v>
      </c>
      <c r="Q29" s="9" t="str">
        <v>③ 300,000,000~500,000,000원</v>
      </c>
      <c r="R29" s="11">
        <v>46223</v>
      </c>
      <c r="S29" s="8">
        <v>22</v>
      </c>
      <c r="T29" s="9" t="str">
        <v>해당없음</v>
      </c>
      <c r="U29" s="9" t="str">
        <v>신규</v>
      </c>
      <c r="V29" s="11">
        <v>46315</v>
      </c>
      <c r="W29" s="9" t="str">
        <v>대기</v>
      </c>
      <c r="X29" s="11">
        <v>46245</v>
      </c>
    </row>
    <row r="30" spans="1:24">
      <c r="A30" s="8">
        <v>16</v>
      </c>
      <c r="B30" s="9" t="str">
        <v>저축은행</v>
      </c>
      <c r="C30" s="9" t="str">
        <v>저축은행 8지점</v>
      </c>
      <c r="D30" s="9" t="str">
        <v>경기</v>
      </c>
      <c r="E30" s="9" t="str">
        <v>안산시</v>
      </c>
      <c r="F30" s="9" t="str">
        <v>안산</v>
      </c>
      <c r="G30" s="9" t="str">
        <v>3계</v>
      </c>
      <c r="H30" s="9" t="str">
        <v>2026-00016</v>
      </c>
      <c r="I30" s="9" t="str">
        <v>임의경매</v>
      </c>
      <c r="J30" s="9" t="str">
        <v>제조업소</v>
      </c>
      <c r="K30" s="9" t="str">
        <v>기타</v>
      </c>
      <c r="L30" s="9" t="str">
        <v>경기 안산시 단원구</v>
      </c>
      <c r="M30" s="9" t="str">
        <v>홍○○</v>
      </c>
      <c r="N30" s="9" t="str">
        <v>홍○○</v>
      </c>
      <c r="O30" s="10">
        <v>737180000</v>
      </c>
      <c r="P30" s="10">
        <v>756230000</v>
      </c>
      <c r="Q30" s="9" t="str">
        <v>④ 500,000,000~1,000,000,000원</v>
      </c>
      <c r="R30" s="11">
        <v>46217</v>
      </c>
      <c r="S30" s="8">
        <v>28</v>
      </c>
      <c r="T30" s="9" t="str">
        <v>해당없음</v>
      </c>
      <c r="U30" s="9" t="str">
        <v>신규</v>
      </c>
      <c r="V30" s="11">
        <v>46294</v>
      </c>
      <c r="W30" s="9" t="str">
        <v>대기</v>
      </c>
      <c r="X30" s="11">
        <v>46245</v>
      </c>
    </row>
    <row r="31" spans="1:24">
      <c r="A31" s="8">
        <v>17</v>
      </c>
      <c r="B31" s="9" t="str">
        <v>수협</v>
      </c>
      <c r="C31" s="9" t="str">
        <v>수협 1지점</v>
      </c>
      <c r="D31" s="9" t="str">
        <v>서울</v>
      </c>
      <c r="E31" s="9" t="str">
        <v>양천구</v>
      </c>
      <c r="F31" s="9" t="str">
        <v>남부</v>
      </c>
      <c r="G31" s="9" t="str">
        <v>9계</v>
      </c>
      <c r="H31" s="9" t="str">
        <v>2026-00017</v>
      </c>
      <c r="I31" s="9" t="str">
        <v>강제경매</v>
      </c>
      <c r="J31" s="9" t="str">
        <v>아파트</v>
      </c>
      <c r="K31" s="9" t="str">
        <v>주거</v>
      </c>
      <c r="L31" s="9" t="str">
        <v>서울 양천구 목동</v>
      </c>
      <c r="M31" s="9" t="str">
        <v>홍○○</v>
      </c>
      <c r="N31" s="9" t="str">
        <v>홍○○</v>
      </c>
      <c r="O31" s="10">
        <v>1395580000</v>
      </c>
      <c r="P31" s="10">
        <v>2482780000</v>
      </c>
      <c r="Q31" s="9" t="str">
        <v>⑤ 1,000,000,000~3,000,000,000원</v>
      </c>
      <c r="R31" s="11">
        <v>46230</v>
      </c>
      <c r="S31" s="8">
        <v>15</v>
      </c>
      <c r="T31" s="9" t="str">
        <v>해당없음</v>
      </c>
      <c r="U31" s="9" t="str">
        <v>신규</v>
      </c>
      <c r="V31" s="11">
        <v>46322</v>
      </c>
      <c r="W31" s="9" t="str">
        <v>대기</v>
      </c>
      <c r="X31" s="11">
        <v>46245</v>
      </c>
    </row>
    <row r="32" spans="1:24">
      <c r="A32" s="8">
        <v>18</v>
      </c>
      <c r="B32" s="9" t="str">
        <v>수협</v>
      </c>
      <c r="C32" s="9" t="str">
        <v>수협 2지점</v>
      </c>
      <c r="D32" s="9" t="str">
        <v>서울</v>
      </c>
      <c r="E32" s="9" t="str">
        <v>강북구</v>
      </c>
      <c r="F32" s="9" t="str">
        <v>북부</v>
      </c>
      <c r="G32" s="9" t="str">
        <v>3계</v>
      </c>
      <c r="H32" s="9" t="str">
        <v>2026-00018</v>
      </c>
      <c r="I32" s="9" t="str">
        <v>임의경매</v>
      </c>
      <c r="J32" s="9" t="str">
        <v>다세대</v>
      </c>
      <c r="K32" s="9" t="str">
        <v>주거</v>
      </c>
      <c r="L32" s="9" t="str">
        <v>서울 강북구 우이동</v>
      </c>
      <c r="M32" s="9" t="str">
        <v>홍○○</v>
      </c>
      <c r="N32" s="9" t="str">
        <v>홍○○</v>
      </c>
      <c r="O32" s="10">
        <v>6134380000</v>
      </c>
      <c r="P32" s="10">
        <v>13701360000</v>
      </c>
      <c r="Q32" s="9" t="str">
        <v>⑥ 3,000,000,000원 이상</v>
      </c>
      <c r="R32" s="11">
        <v>46227</v>
      </c>
      <c r="S32" s="8">
        <v>18</v>
      </c>
      <c r="T32" s="9" t="str">
        <v>해당없음</v>
      </c>
      <c r="U32" s="9" t="str">
        <v>신규</v>
      </c>
      <c r="V32" s="11">
        <v>46307</v>
      </c>
      <c r="W32" s="9" t="str">
        <v>대기</v>
      </c>
      <c r="X32" s="11">
        <v>46245</v>
      </c>
    </row>
    <row r="33" spans="1:24">
      <c r="A33" s="8">
        <v>19</v>
      </c>
      <c r="B33" s="9" t="str">
        <v>수협</v>
      </c>
      <c r="C33" s="9" t="str">
        <v>수협 3지점</v>
      </c>
      <c r="D33" s="9" t="str">
        <v>서울</v>
      </c>
      <c r="E33" s="9" t="str">
        <v>서대문구</v>
      </c>
      <c r="F33" s="9" t="str">
        <v>서부</v>
      </c>
      <c r="G33" s="9" t="str">
        <v>6계</v>
      </c>
      <c r="H33" s="9" t="str">
        <v>2026-00019</v>
      </c>
      <c r="I33" s="9" t="str">
        <v>임의경매</v>
      </c>
      <c r="J33" s="9" t="str">
        <v>다세대</v>
      </c>
      <c r="K33" s="9" t="str">
        <v>주거</v>
      </c>
      <c r="L33" s="9" t="str">
        <v>서울 서대문구 홍은동</v>
      </c>
      <c r="M33" s="9" t="str">
        <v>홍○○</v>
      </c>
      <c r="N33" s="9" t="str">
        <v>홍○○</v>
      </c>
      <c r="O33" s="10">
        <v>35040000</v>
      </c>
      <c r="P33" s="10">
        <v>90400000</v>
      </c>
      <c r="Q33" s="9" t="str">
        <v>① 100,000,000원 미만</v>
      </c>
      <c r="R33" s="11">
        <v>46216</v>
      </c>
      <c r="S33" s="8">
        <v>29</v>
      </c>
      <c r="T33" s="9" t="str">
        <v>해당없음</v>
      </c>
      <c r="U33" s="9" t="str">
        <v>신규</v>
      </c>
      <c r="V33" s="11">
        <v>46293</v>
      </c>
      <c r="W33" s="9" t="str">
        <v>대기</v>
      </c>
      <c r="X33" s="11">
        <v>46245</v>
      </c>
    </row>
    <row r="34" spans="1:24">
      <c r="A34" s="8">
        <v>20</v>
      </c>
      <c r="B34" s="9" t="str">
        <v>수협</v>
      </c>
      <c r="C34" s="9" t="str">
        <v>수협 4지점</v>
      </c>
      <c r="D34" s="9" t="str">
        <v>서울</v>
      </c>
      <c r="E34" s="9" t="str">
        <v>서대문구</v>
      </c>
      <c r="F34" s="9" t="str">
        <v>서부</v>
      </c>
      <c r="G34" s="9" t="str">
        <v>8계</v>
      </c>
      <c r="H34" s="9" t="str">
        <v>2026-00020</v>
      </c>
      <c r="I34" s="9" t="str">
        <v>임의경매</v>
      </c>
      <c r="J34" s="9" t="str">
        <v>아파트</v>
      </c>
      <c r="K34" s="9" t="str">
        <v>주거</v>
      </c>
      <c r="L34" s="9" t="str">
        <v>서울 서대문구 북가좌동</v>
      </c>
      <c r="M34" s="9" t="str">
        <v>홍○○</v>
      </c>
      <c r="N34" s="9" t="str">
        <v>홍○○</v>
      </c>
      <c r="O34" s="10">
        <v>170240000</v>
      </c>
      <c r="P34" s="10">
        <v>248840000</v>
      </c>
      <c r="Q34" s="9" t="str">
        <v>② 100,000,000~300,000,000원</v>
      </c>
      <c r="R34" s="11">
        <v>46226</v>
      </c>
      <c r="S34" s="8">
        <v>19</v>
      </c>
      <c r="T34" s="9" t="str">
        <v>해당없음</v>
      </c>
      <c r="U34" s="9" t="str">
        <v>신규</v>
      </c>
      <c r="V34" s="11">
        <v>46301</v>
      </c>
      <c r="W34" s="9" t="str">
        <v>대기</v>
      </c>
      <c r="X34" s="11">
        <v>46245</v>
      </c>
    </row>
    <row r="35" spans="1:24">
      <c r="A35" s="8">
        <v>21</v>
      </c>
      <c r="B35" s="9" t="str">
        <v>수협</v>
      </c>
      <c r="C35" s="9" t="str">
        <v>수협 5지점</v>
      </c>
      <c r="D35" s="9" t="str">
        <v>서울</v>
      </c>
      <c r="E35" s="9" t="str">
        <v>마포구</v>
      </c>
      <c r="F35" s="9" t="str">
        <v>서부</v>
      </c>
      <c r="G35" s="9" t="str">
        <v>8계</v>
      </c>
      <c r="H35" s="9" t="str">
        <v>2026-00021</v>
      </c>
      <c r="I35" s="9" t="str">
        <v>임의경매</v>
      </c>
      <c r="J35" s="9" t="str">
        <v>아파트</v>
      </c>
      <c r="K35" s="9" t="str">
        <v>주거</v>
      </c>
      <c r="L35" s="9" t="str">
        <v>서울 마포구 도화동</v>
      </c>
      <c r="M35" s="9" t="str">
        <v>홍○○</v>
      </c>
      <c r="N35" s="9" t="str">
        <v>홍○○</v>
      </c>
      <c r="O35" s="10">
        <v>461080000</v>
      </c>
      <c r="P35" s="10">
        <v>784190000</v>
      </c>
      <c r="Q35" s="9" t="str">
        <v>③ 300,000,000~500,000,000원</v>
      </c>
      <c r="R35" s="11">
        <v>46233</v>
      </c>
      <c r="S35" s="8">
        <v>12</v>
      </c>
      <c r="T35" s="9" t="str">
        <v>해당없음</v>
      </c>
      <c r="U35" s="9" t="str">
        <v>신규</v>
      </c>
      <c r="V35" s="11">
        <v>46310</v>
      </c>
      <c r="W35" s="9" t="str">
        <v>대기</v>
      </c>
      <c r="X35" s="11">
        <v>46245</v>
      </c>
    </row>
    <row r="36" spans="1:24">
      <c r="A36" s="8">
        <v>22</v>
      </c>
      <c r="B36" s="9" t="str">
        <v>수협</v>
      </c>
      <c r="C36" s="9" t="str">
        <v>수협 6지점</v>
      </c>
      <c r="D36" s="9" t="str">
        <v>서울</v>
      </c>
      <c r="E36" s="9" t="str">
        <v>성동구</v>
      </c>
      <c r="F36" s="9" t="str">
        <v>동부</v>
      </c>
      <c r="G36" s="9" t="str">
        <v>4계</v>
      </c>
      <c r="H36" s="9" t="str">
        <v>2026-00022</v>
      </c>
      <c r="I36" s="9" t="str">
        <v>임의경매</v>
      </c>
      <c r="J36" s="9" t="str">
        <v>근린주택</v>
      </c>
      <c r="K36" s="9" t="str">
        <v>주거</v>
      </c>
      <c r="L36" s="9" t="str">
        <v>서울 성동구 금호동</v>
      </c>
      <c r="M36" s="9" t="str">
        <v>홍○○</v>
      </c>
      <c r="N36" s="9" t="str">
        <v>홍○○</v>
      </c>
      <c r="O36" s="10">
        <v>763290000</v>
      </c>
      <c r="P36" s="10">
        <v>1232600000</v>
      </c>
      <c r="Q36" s="9" t="str">
        <v>④ 500,000,000~1,000,000,000원</v>
      </c>
      <c r="R36" s="11">
        <v>46218</v>
      </c>
      <c r="S36" s="8">
        <v>27</v>
      </c>
      <c r="T36" s="9" t="str">
        <v>해당없음</v>
      </c>
      <c r="U36" s="9" t="str">
        <v>신규</v>
      </c>
      <c r="V36" s="11">
        <v>46301</v>
      </c>
      <c r="W36" s="9" t="str">
        <v>대기</v>
      </c>
      <c r="X36" s="11">
        <v>46245</v>
      </c>
    </row>
    <row r="37" spans="1:24">
      <c r="A37" s="8">
        <v>23</v>
      </c>
      <c r="B37" s="9" t="str">
        <v>수협</v>
      </c>
      <c r="C37" s="9" t="str">
        <v>수협 7지점</v>
      </c>
      <c r="D37" s="9" t="str">
        <v>서울</v>
      </c>
      <c r="E37" s="9" t="str">
        <v>동대문구</v>
      </c>
      <c r="F37" s="9" t="str">
        <v>북부</v>
      </c>
      <c r="G37" s="9" t="str">
        <v>5계</v>
      </c>
      <c r="H37" s="9" t="str">
        <v>2026-00023</v>
      </c>
      <c r="I37" s="9" t="str">
        <v>임의경매</v>
      </c>
      <c r="J37" s="9" t="str">
        <v>근린주택</v>
      </c>
      <c r="K37" s="9" t="str">
        <v>주거</v>
      </c>
      <c r="L37" s="9" t="str">
        <v>서울 동대문구 제기동</v>
      </c>
      <c r="M37" s="9" t="str">
        <v>홍○○</v>
      </c>
      <c r="N37" s="9" t="str">
        <v>홍○○</v>
      </c>
      <c r="O37" s="10">
        <v>1952280000</v>
      </c>
      <c r="P37" s="10">
        <v>2856380000</v>
      </c>
      <c r="Q37" s="9" t="str">
        <v>⑤ 1,000,000,000~3,000,000,000원</v>
      </c>
      <c r="R37" s="11">
        <v>46219</v>
      </c>
      <c r="S37" s="8">
        <v>26</v>
      </c>
      <c r="T37" s="9" t="str">
        <v>해당없음</v>
      </c>
      <c r="U37" s="9" t="str">
        <v>신규</v>
      </c>
      <c r="V37" s="11">
        <v>46294</v>
      </c>
      <c r="W37" s="9" t="str">
        <v>대기</v>
      </c>
      <c r="X37" s="11">
        <v>46245</v>
      </c>
    </row>
    <row r="38" spans="1:24">
      <c r="A38" s="8">
        <v>24</v>
      </c>
      <c r="B38" s="9" t="str">
        <v>수협</v>
      </c>
      <c r="C38" s="9" t="str">
        <v>수협 8지점</v>
      </c>
      <c r="D38" s="9" t="str">
        <v>서울</v>
      </c>
      <c r="E38" s="9" t="str">
        <v>중랑구</v>
      </c>
      <c r="F38" s="9" t="str">
        <v>북부</v>
      </c>
      <c r="G38" s="9" t="str">
        <v>6계</v>
      </c>
      <c r="H38" s="9" t="str">
        <v>2026-00024</v>
      </c>
      <c r="I38" s="9" t="str">
        <v>임의경매</v>
      </c>
      <c r="J38" s="9" t="str">
        <v>주택</v>
      </c>
      <c r="K38" s="9" t="str">
        <v>주거</v>
      </c>
      <c r="L38" s="9" t="str">
        <v>서울 중랑구 면목동</v>
      </c>
      <c r="M38" s="9" t="str">
        <v>홍○○</v>
      </c>
      <c r="N38" s="9" t="str">
        <v>홍○○</v>
      </c>
      <c r="O38" s="10">
        <v>4834720000</v>
      </c>
      <c r="P38" s="10">
        <v>11152400000</v>
      </c>
      <c r="Q38" s="9" t="str">
        <v>⑥ 3,000,000,000원 이상</v>
      </c>
      <c r="R38" s="11">
        <v>46216</v>
      </c>
      <c r="S38" s="8">
        <v>29</v>
      </c>
      <c r="T38" s="9" t="str">
        <v>해당없음</v>
      </c>
      <c r="U38" s="9" t="str">
        <v>신규</v>
      </c>
      <c r="V38" s="11">
        <v>46293</v>
      </c>
      <c r="W38" s="9" t="str">
        <v>정지</v>
      </c>
      <c r="X38" s="11">
        <v>46245</v>
      </c>
    </row>
    <row r="39" spans="1:24">
      <c r="A39" s="8">
        <v>25</v>
      </c>
      <c r="B39" s="9" t="str">
        <v>새마을금고</v>
      </c>
      <c r="C39" s="9" t="str">
        <v>새마을금고 1지점</v>
      </c>
      <c r="D39" s="9" t="str">
        <v>서울</v>
      </c>
      <c r="E39" s="9" t="str">
        <v>성북구</v>
      </c>
      <c r="F39" s="9" t="str">
        <v>북부</v>
      </c>
      <c r="G39" s="9" t="str">
        <v>6계</v>
      </c>
      <c r="H39" s="9" t="str">
        <v>2026-00025</v>
      </c>
      <c r="I39" s="9" t="str">
        <v>임의경매</v>
      </c>
      <c r="J39" s="9" t="str">
        <v>아파트</v>
      </c>
      <c r="K39" s="9" t="str">
        <v>주거</v>
      </c>
      <c r="L39" s="9" t="str">
        <v>서울 성북구 종암동</v>
      </c>
      <c r="M39" s="9" t="str">
        <v>홍○○</v>
      </c>
      <c r="N39" s="9" t="str">
        <v>홍○○</v>
      </c>
      <c r="O39" s="10">
        <v>58220000</v>
      </c>
      <c r="P39" s="10">
        <v>85830000</v>
      </c>
      <c r="Q39" s="9" t="str">
        <v>① 100,000,000원 미만</v>
      </c>
      <c r="R39" s="11">
        <v>46226</v>
      </c>
      <c r="S39" s="8">
        <v>19</v>
      </c>
      <c r="T39" s="9" t="str">
        <v>해당없음</v>
      </c>
      <c r="U39" s="9" t="str">
        <v>신규</v>
      </c>
      <c r="V39" s="11">
        <v>46303</v>
      </c>
      <c r="W39" s="9" t="str">
        <v>대기</v>
      </c>
      <c r="X39" s="11">
        <v>46245</v>
      </c>
    </row>
    <row r="40" spans="1:24">
      <c r="A40" s="8">
        <v>26</v>
      </c>
      <c r="B40" s="9" t="str">
        <v>새마을금고</v>
      </c>
      <c r="C40" s="9" t="str">
        <v>새마을금고 2지점</v>
      </c>
      <c r="D40" s="9" t="str">
        <v>서울</v>
      </c>
      <c r="E40" s="9" t="str">
        <v>노원구</v>
      </c>
      <c r="F40" s="9" t="str">
        <v>북부</v>
      </c>
      <c r="G40" s="9" t="str">
        <v>9계</v>
      </c>
      <c r="H40" s="9" t="str">
        <v>2026-00026</v>
      </c>
      <c r="I40" s="9" t="str">
        <v>임의경매</v>
      </c>
      <c r="J40" s="9" t="str">
        <v>아파트</v>
      </c>
      <c r="K40" s="9" t="str">
        <v>주거</v>
      </c>
      <c r="L40" s="9" t="str">
        <v>서울 노원구 상계동</v>
      </c>
      <c r="M40" s="9" t="str">
        <v>홍○○</v>
      </c>
      <c r="N40" s="9" t="str">
        <v>홍○○</v>
      </c>
      <c r="O40" s="10">
        <v>138270000</v>
      </c>
      <c r="P40" s="10">
        <v>317710000</v>
      </c>
      <c r="Q40" s="9" t="str">
        <v>② 100,000,000~300,000,000원</v>
      </c>
      <c r="R40" s="11">
        <v>46226</v>
      </c>
      <c r="S40" s="8">
        <v>19</v>
      </c>
      <c r="T40" s="9" t="str">
        <v>해당없음</v>
      </c>
      <c r="U40" s="9" t="str">
        <v>신규</v>
      </c>
      <c r="V40" s="11">
        <v>46303</v>
      </c>
      <c r="W40" s="9" t="str">
        <v>대기</v>
      </c>
      <c r="X40" s="11">
        <v>46245</v>
      </c>
    </row>
    <row r="41" spans="1:24">
      <c r="A41" s="8">
        <v>27</v>
      </c>
      <c r="B41" s="9" t="str">
        <v>새마을금고</v>
      </c>
      <c r="C41" s="9" t="str">
        <v>새마을금고 3지점</v>
      </c>
      <c r="D41" s="9" t="str">
        <v>서울</v>
      </c>
      <c r="E41" s="9" t="str">
        <v>금천구</v>
      </c>
      <c r="F41" s="9" t="str">
        <v>남부</v>
      </c>
      <c r="G41" s="9" t="str">
        <v>3계</v>
      </c>
      <c r="H41" s="9" t="str">
        <v>2026-00027</v>
      </c>
      <c r="I41" s="9" t="str">
        <v>임의경매</v>
      </c>
      <c r="J41" s="9" t="str">
        <v>아파트</v>
      </c>
      <c r="K41" s="9" t="str">
        <v>주거</v>
      </c>
      <c r="L41" s="9" t="str">
        <v>서울 금천구 시흥동</v>
      </c>
      <c r="M41" s="9" t="str">
        <v>홍○○</v>
      </c>
      <c r="N41" s="9" t="str">
        <v>홍○○</v>
      </c>
      <c r="O41" s="10">
        <v>481950000</v>
      </c>
      <c r="P41" s="10">
        <v>838510000</v>
      </c>
      <c r="Q41" s="9" t="str">
        <v>③ 300,000,000~500,000,000원</v>
      </c>
      <c r="R41" s="11">
        <v>46223</v>
      </c>
      <c r="S41" s="8">
        <v>22</v>
      </c>
      <c r="T41" s="9" t="str">
        <v>해당없음</v>
      </c>
      <c r="U41" s="9" t="str">
        <v>신규</v>
      </c>
      <c r="V41" s="11">
        <v>46315</v>
      </c>
      <c r="W41" s="9" t="str">
        <v>대기</v>
      </c>
      <c r="X41" s="11">
        <v>46245</v>
      </c>
    </row>
    <row r="42" spans="1:24">
      <c r="A42" s="8">
        <v>28</v>
      </c>
      <c r="B42" s="9" t="str">
        <v>새마을금고</v>
      </c>
      <c r="C42" s="9" t="str">
        <v>새마을금고 4지점</v>
      </c>
      <c r="D42" s="9" t="str">
        <v>서울</v>
      </c>
      <c r="E42" s="9" t="str">
        <v>구로구</v>
      </c>
      <c r="F42" s="9" t="str">
        <v>남부</v>
      </c>
      <c r="G42" s="9" t="str">
        <v>11계</v>
      </c>
      <c r="H42" s="9" t="str">
        <v>2026-00028</v>
      </c>
      <c r="I42" s="9" t="str">
        <v>강제경매</v>
      </c>
      <c r="J42" s="9" t="str">
        <v>다가구주택</v>
      </c>
      <c r="K42" s="9" t="str">
        <v>주거</v>
      </c>
      <c r="L42" s="9" t="str">
        <v>서울 구로구 구로동</v>
      </c>
      <c r="M42" s="9" t="str">
        <v>홍○○</v>
      </c>
      <c r="N42" s="9" t="str">
        <v>홍○○</v>
      </c>
      <c r="O42" s="10">
        <v>804090000</v>
      </c>
      <c r="P42" s="10">
        <v>1190190000</v>
      </c>
      <c r="Q42" s="9" t="str">
        <v>④ 500,000,000~1,000,000,000원</v>
      </c>
      <c r="R42" s="11">
        <v>46227</v>
      </c>
      <c r="S42" s="8">
        <v>18</v>
      </c>
      <c r="T42" s="9" t="str">
        <v>해당없음</v>
      </c>
      <c r="U42" s="9" t="str">
        <v>신규</v>
      </c>
      <c r="V42" s="11">
        <v>46323</v>
      </c>
      <c r="W42" s="9" t="str">
        <v>대기</v>
      </c>
      <c r="X42" s="11">
        <v>46245</v>
      </c>
    </row>
    <row r="43" spans="1:24">
      <c r="A43" s="8">
        <v>29</v>
      </c>
      <c r="B43" s="9" t="str">
        <v>새마을금고</v>
      </c>
      <c r="C43" s="9" t="str">
        <v>새마을금고 5지점</v>
      </c>
      <c r="D43" s="9" t="str">
        <v>서울</v>
      </c>
      <c r="E43" s="9" t="str">
        <v>은평구</v>
      </c>
      <c r="F43" s="9" t="str">
        <v>서부</v>
      </c>
      <c r="G43" s="9" t="str">
        <v>5계</v>
      </c>
      <c r="H43" s="9" t="str">
        <v>2026-00029</v>
      </c>
      <c r="I43" s="9" t="str">
        <v>강제경매</v>
      </c>
      <c r="J43" s="9" t="str">
        <v>다세대</v>
      </c>
      <c r="K43" s="9" t="str">
        <v>주거</v>
      </c>
      <c r="L43" s="9" t="str">
        <v>서울 은평구 대조동</v>
      </c>
      <c r="M43" s="9" t="str">
        <v>홍○○</v>
      </c>
      <c r="N43" s="9" t="str">
        <v>홍○○</v>
      </c>
      <c r="O43" s="10">
        <v>1592180000</v>
      </c>
      <c r="P43" s="10">
        <v>2864660000</v>
      </c>
      <c r="Q43" s="9" t="str">
        <v>⑤ 1,000,000,000~3,000,000,000원</v>
      </c>
      <c r="R43" s="11">
        <v>46219</v>
      </c>
      <c r="S43" s="8">
        <v>26</v>
      </c>
      <c r="T43" s="9" t="str">
        <v>해당없음</v>
      </c>
      <c r="U43" s="9" t="str">
        <v>신규</v>
      </c>
      <c r="V43" s="11">
        <v>46295</v>
      </c>
      <c r="W43" s="9" t="str">
        <v>대기</v>
      </c>
      <c r="X43" s="11">
        <v>46245</v>
      </c>
    </row>
    <row r="44" spans="1:24">
      <c r="A44" s="8">
        <v>30</v>
      </c>
      <c r="B44" s="9" t="str">
        <v>새마을금고</v>
      </c>
      <c r="C44" s="9" t="str">
        <v>새마을금고 6지점</v>
      </c>
      <c r="D44" s="9" t="str">
        <v>경기</v>
      </c>
      <c r="E44" s="9" t="str">
        <v>김포시</v>
      </c>
      <c r="F44" s="9" t="str">
        <v>부천</v>
      </c>
      <c r="G44" s="9" t="str">
        <v>4계</v>
      </c>
      <c r="H44" s="9" t="str">
        <v>2026-00030</v>
      </c>
      <c r="I44" s="9" t="str">
        <v>임의경매</v>
      </c>
      <c r="J44" s="9" t="str">
        <v>점포(근린시설)</v>
      </c>
      <c r="K44" s="9" t="str">
        <v>상업·업무</v>
      </c>
      <c r="L44" s="9" t="str">
        <v>경기 김포시 걸포동</v>
      </c>
      <c r="M44" s="9" t="str">
        <v>홍○○</v>
      </c>
      <c r="N44" s="9" t="str">
        <v>홍○○</v>
      </c>
      <c r="O44" s="10">
        <v>4505590000</v>
      </c>
      <c r="P44" s="10">
        <v>6983310000</v>
      </c>
      <c r="Q44" s="9" t="str">
        <v>⑥ 3,000,000,000원 이상</v>
      </c>
      <c r="R44" s="11">
        <v>46218</v>
      </c>
      <c r="S44" s="8">
        <v>27</v>
      </c>
      <c r="T44" s="9" t="str">
        <v>해당없음</v>
      </c>
      <c r="U44" s="9" t="str">
        <v>신규</v>
      </c>
      <c r="V44" s="11">
        <v>46294</v>
      </c>
      <c r="W44" s="9" t="str">
        <v>대기</v>
      </c>
      <c r="X44" s="11">
        <v>46245</v>
      </c>
    </row>
    <row r="45" spans="1:24">
      <c r="A45" s="8">
        <v>31</v>
      </c>
      <c r="B45" s="9" t="str">
        <v>새마을금고</v>
      </c>
      <c r="C45" s="9" t="str">
        <v>새마을금고 7지점</v>
      </c>
      <c r="D45" s="9" t="str">
        <v>경기</v>
      </c>
      <c r="E45" s="9" t="str">
        <v>용인시</v>
      </c>
      <c r="F45" s="9" t="str">
        <v>수원</v>
      </c>
      <c r="G45" s="9" t="str">
        <v>13계</v>
      </c>
      <c r="H45" s="9" t="str">
        <v>2026-00031</v>
      </c>
      <c r="I45" s="9" t="str">
        <v>임의경매</v>
      </c>
      <c r="J45" s="9" t="str">
        <v>아파트</v>
      </c>
      <c r="K45" s="9" t="str">
        <v>주거</v>
      </c>
      <c r="L45" s="9" t="str">
        <v>경기 용인시 기흥구</v>
      </c>
      <c r="M45" s="9" t="str">
        <v>홍○○</v>
      </c>
      <c r="N45" s="9" t="str">
        <v>홍○○</v>
      </c>
      <c r="O45" s="10">
        <v>81860000</v>
      </c>
      <c r="P45" s="10">
        <v>116300000</v>
      </c>
      <c r="Q45" s="9" t="str">
        <v>① 100,000,000원 미만</v>
      </c>
      <c r="R45" s="11">
        <v>46219</v>
      </c>
      <c r="S45" s="8">
        <v>26</v>
      </c>
      <c r="T45" s="9" t="str">
        <v>해당없음</v>
      </c>
      <c r="U45" s="9" t="str">
        <v>신규</v>
      </c>
      <c r="V45" s="11">
        <v>46295</v>
      </c>
      <c r="W45" s="9" t="str">
        <v>취하</v>
      </c>
      <c r="X45" s="11">
        <v>46245</v>
      </c>
    </row>
    <row r="46" spans="1:24">
      <c r="A46" s="8">
        <v>32</v>
      </c>
      <c r="B46" s="9" t="str">
        <v>새마을금고</v>
      </c>
      <c r="C46" s="9" t="str">
        <v>새마을금고 8지점</v>
      </c>
      <c r="D46" s="9" t="str">
        <v>경기</v>
      </c>
      <c r="E46" s="9" t="str">
        <v>고양시</v>
      </c>
      <c r="F46" s="9" t="str">
        <v>고양</v>
      </c>
      <c r="G46" s="9" t="str">
        <v>8계</v>
      </c>
      <c r="H46" s="9" t="str">
        <v>2026-00032</v>
      </c>
      <c r="I46" s="9" t="str">
        <v>임의경매</v>
      </c>
      <c r="J46" s="9" t="str">
        <v>근린시설</v>
      </c>
      <c r="K46" s="9" t="str">
        <v>상업·업무</v>
      </c>
      <c r="L46" s="9" t="str">
        <v>경기 고양시 일산서구</v>
      </c>
      <c r="M46" s="9" t="str">
        <v>홍○○</v>
      </c>
      <c r="N46" s="9" t="str">
        <v>홍○○</v>
      </c>
      <c r="O46" s="10">
        <v>206070000</v>
      </c>
      <c r="P46" s="10">
        <v>229470000</v>
      </c>
      <c r="Q46" s="9" t="str">
        <v>② 100,000,000~300,000,000원</v>
      </c>
      <c r="R46" s="11">
        <v>46219</v>
      </c>
      <c r="S46" s="8">
        <v>26</v>
      </c>
      <c r="T46" s="9" t="str">
        <v>해당없음</v>
      </c>
      <c r="U46" s="9" t="str">
        <v>신규</v>
      </c>
      <c r="V46" s="11">
        <v>46315</v>
      </c>
      <c r="W46" s="9" t="str">
        <v>대기</v>
      </c>
      <c r="X46" s="11">
        <v>46245</v>
      </c>
    </row>
    <row r="47" spans="1:24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10"/>
      <c r="Q47" s="9"/>
      <c r="R47" s="11"/>
      <c r="S47" s="8"/>
      <c r="T47" s="9"/>
      <c r="U47" s="9"/>
      <c r="V47" s="11"/>
      <c r="W47" s="9"/>
      <c r="X47" s="11"/>
    </row>
    <row r="48" spans="1:24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10"/>
      <c r="Q48" s="9"/>
      <c r="R48" s="11"/>
      <c r="S48" s="8"/>
      <c r="T48" s="9"/>
      <c r="U48" s="9"/>
      <c r="V48" s="11"/>
      <c r="W48" s="9"/>
      <c r="X48" s="11"/>
    </row>
    <row r="49" spans="1:24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  <c r="P49" s="10"/>
      <c r="Q49" s="9"/>
      <c r="R49" s="11"/>
      <c r="S49" s="8"/>
      <c r="T49" s="9"/>
      <c r="U49" s="9"/>
      <c r="V49" s="11"/>
      <c r="W49" s="9"/>
      <c r="X49" s="11"/>
    </row>
    <row r="50" spans="1:24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10"/>
      <c r="Q50" s="9"/>
      <c r="R50" s="11"/>
      <c r="S50" s="8"/>
      <c r="T50" s="9"/>
      <c r="U50" s="9"/>
      <c r="V50" s="11"/>
      <c r="W50" s="9"/>
      <c r="X50" s="11"/>
    </row>
    <row r="51" spans="1:24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P51" s="10"/>
      <c r="Q51" s="9"/>
      <c r="R51" s="11"/>
      <c r="S51" s="8"/>
      <c r="T51" s="9"/>
      <c r="U51" s="9"/>
      <c r="V51" s="11"/>
      <c r="W51" s="9"/>
      <c r="X51" s="11"/>
    </row>
    <row r="52" spans="1:24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0"/>
      <c r="P52" s="10"/>
      <c r="Q52" s="9"/>
      <c r="R52" s="11"/>
      <c r="S52" s="8"/>
      <c r="T52" s="9"/>
      <c r="U52" s="9"/>
      <c r="V52" s="11"/>
      <c r="W52" s="9"/>
      <c r="X52" s="11"/>
    </row>
    <row r="53" spans="1:24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10"/>
      <c r="P53" s="10"/>
      <c r="Q53" s="9"/>
      <c r="R53" s="11"/>
      <c r="S53" s="8"/>
      <c r="T53" s="9"/>
      <c r="U53" s="9"/>
      <c r="V53" s="11"/>
      <c r="W53" s="9"/>
      <c r="X53" s="11"/>
    </row>
    <row r="54" spans="1:24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10"/>
      <c r="P54" s="10"/>
      <c r="Q54" s="9"/>
      <c r="R54" s="11"/>
      <c r="S54" s="8"/>
      <c r="T54" s="9"/>
      <c r="U54" s="9"/>
      <c r="V54" s="11"/>
      <c r="W54" s="9"/>
      <c r="X54" s="11"/>
    </row>
    <row r="55" spans="1:24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10"/>
      <c r="P55" s="10"/>
      <c r="Q55" s="9"/>
      <c r="R55" s="11"/>
      <c r="S55" s="8"/>
      <c r="T55" s="9"/>
      <c r="U55" s="9"/>
      <c r="V55" s="11"/>
      <c r="W55" s="9"/>
      <c r="X55" s="11"/>
    </row>
    <row r="56" spans="1:24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10"/>
      <c r="P56" s="10"/>
      <c r="Q56" s="9"/>
      <c r="R56" s="11"/>
      <c r="S56" s="8"/>
      <c r="T56" s="9"/>
      <c r="U56" s="9"/>
      <c r="V56" s="11"/>
      <c r="W56" s="9"/>
      <c r="X56" s="11"/>
    </row>
    <row r="57" spans="1:24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0"/>
      <c r="P57" s="10"/>
      <c r="Q57" s="9"/>
      <c r="R57" s="11"/>
      <c r="S57" s="8"/>
      <c r="T57" s="9"/>
      <c r="U57" s="9"/>
      <c r="V57" s="11"/>
      <c r="W57" s="9"/>
      <c r="X57" s="11"/>
    </row>
    <row r="58" spans="1:24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0"/>
      <c r="P58" s="10"/>
      <c r="Q58" s="9"/>
      <c r="R58" s="11"/>
      <c r="S58" s="8"/>
      <c r="T58" s="9"/>
      <c r="U58" s="9"/>
      <c r="V58" s="11"/>
      <c r="W58" s="9"/>
      <c r="X58" s="11"/>
    </row>
    <row r="59" spans="1:24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10"/>
      <c r="P59" s="10"/>
      <c r="Q59" s="9"/>
      <c r="R59" s="11"/>
      <c r="S59" s="8"/>
      <c r="T59" s="9"/>
      <c r="U59" s="9"/>
      <c r="V59" s="11"/>
      <c r="W59" s="9"/>
      <c r="X59" s="11"/>
    </row>
    <row r="60" spans="1:24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10"/>
      <c r="P60" s="10"/>
      <c r="Q60" s="9"/>
      <c r="R60" s="11"/>
      <c r="S60" s="8"/>
      <c r="T60" s="9"/>
      <c r="U60" s="9"/>
      <c r="V60" s="11"/>
      <c r="W60" s="9"/>
      <c r="X60" s="11"/>
    </row>
    <row r="61" spans="1:24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10"/>
      <c r="P61" s="10"/>
      <c r="Q61" s="9"/>
      <c r="R61" s="11"/>
      <c r="S61" s="8"/>
      <c r="T61" s="9"/>
      <c r="U61" s="9"/>
      <c r="V61" s="11"/>
      <c r="W61" s="9"/>
      <c r="X61" s="11"/>
    </row>
    <row r="62" spans="1:24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10"/>
      <c r="P62" s="10"/>
      <c r="Q62" s="9"/>
      <c r="R62" s="11"/>
      <c r="S62" s="8"/>
      <c r="T62" s="9"/>
      <c r="U62" s="9"/>
      <c r="V62" s="11"/>
      <c r="W62" s="9"/>
      <c r="X62" s="11"/>
    </row>
    <row r="63" spans="1:24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10"/>
      <c r="P63" s="10"/>
      <c r="Q63" s="9"/>
      <c r="R63" s="11"/>
      <c r="S63" s="8"/>
      <c r="T63" s="9"/>
      <c r="U63" s="9"/>
      <c r="V63" s="11"/>
      <c r="W63" s="9"/>
      <c r="X63" s="11"/>
    </row>
    <row r="64" spans="1:24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10"/>
      <c r="P64" s="10"/>
      <c r="Q64" s="9"/>
      <c r="R64" s="11"/>
      <c r="S64" s="8"/>
      <c r="T64" s="9"/>
      <c r="U64" s="9"/>
      <c r="V64" s="11"/>
      <c r="W64" s="9"/>
      <c r="X64" s="11"/>
    </row>
    <row r="65" spans="1:24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10"/>
      <c r="P65" s="10"/>
      <c r="Q65" s="9"/>
      <c r="R65" s="11"/>
      <c r="S65" s="8"/>
      <c r="T65" s="9"/>
      <c r="U65" s="9"/>
      <c r="V65" s="11"/>
      <c r="W65" s="9"/>
      <c r="X65" s="11"/>
    </row>
    <row r="66" spans="1:24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10"/>
      <c r="P66" s="10"/>
      <c r="Q66" s="9"/>
      <c r="R66" s="11"/>
      <c r="S66" s="8"/>
      <c r="T66" s="9"/>
      <c r="U66" s="9"/>
      <c r="V66" s="11"/>
      <c r="W66" s="9"/>
      <c r="X66" s="11"/>
    </row>
    <row r="67" spans="1:24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10"/>
      <c r="P67" s="10"/>
      <c r="Q67" s="9"/>
      <c r="R67" s="11"/>
      <c r="S67" s="8"/>
      <c r="T67" s="9"/>
      <c r="U67" s="9"/>
      <c r="V67" s="11"/>
      <c r="W67" s="9"/>
      <c r="X67" s="11"/>
    </row>
    <row r="68" spans="1:24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10"/>
      <c r="P68" s="10"/>
      <c r="Q68" s="9"/>
      <c r="R68" s="11"/>
      <c r="S68" s="8"/>
      <c r="T68" s="9"/>
      <c r="U68" s="9"/>
      <c r="V68" s="11"/>
      <c r="W68" s="9"/>
      <c r="X68" s="11"/>
    </row>
    <row r="69" spans="1:24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10"/>
      <c r="P69" s="10"/>
      <c r="Q69" s="9"/>
      <c r="R69" s="11"/>
      <c r="S69" s="8"/>
      <c r="T69" s="9"/>
      <c r="U69" s="9"/>
      <c r="V69" s="11"/>
      <c r="W69" s="9"/>
      <c r="X69" s="11"/>
    </row>
    <row r="70" spans="1:24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10"/>
      <c r="P70" s="10"/>
      <c r="Q70" s="9"/>
      <c r="R70" s="11"/>
      <c r="S70" s="8"/>
      <c r="T70" s="9"/>
      <c r="U70" s="9"/>
      <c r="V70" s="11"/>
      <c r="W70" s="9"/>
      <c r="X70" s="11"/>
    </row>
    <row r="71" spans="1:24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0"/>
      <c r="P71" s="10"/>
      <c r="Q71" s="9"/>
      <c r="R71" s="11"/>
      <c r="S71" s="8"/>
      <c r="T71" s="9"/>
      <c r="U71" s="9"/>
      <c r="V71" s="11"/>
      <c r="W71" s="9"/>
      <c r="X71" s="11"/>
    </row>
    <row r="72" spans="1:24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10"/>
      <c r="P72" s="10"/>
      <c r="Q72" s="9"/>
      <c r="R72" s="11"/>
      <c r="S72" s="8"/>
      <c r="T72" s="9"/>
      <c r="U72" s="9"/>
      <c r="V72" s="11"/>
      <c r="W72" s="9"/>
      <c r="X72" s="11"/>
    </row>
    <row r="73" spans="1:24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10"/>
      <c r="P73" s="10"/>
      <c r="Q73" s="9"/>
      <c r="R73" s="11"/>
      <c r="S73" s="8"/>
      <c r="T73" s="9"/>
      <c r="U73" s="9"/>
      <c r="V73" s="11"/>
      <c r="W73" s="9"/>
      <c r="X73" s="11"/>
    </row>
    <row r="74" spans="1:24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10"/>
      <c r="P74" s="10"/>
      <c r="Q74" s="9"/>
      <c r="R74" s="11"/>
      <c r="S74" s="8"/>
      <c r="T74" s="9"/>
      <c r="U74" s="9"/>
      <c r="V74" s="11"/>
      <c r="W74" s="9"/>
      <c r="X74" s="11"/>
    </row>
    <row r="75" spans="1:24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/>
      <c r="P75" s="10"/>
      <c r="Q75" s="9"/>
      <c r="R75" s="11"/>
      <c r="S75" s="8"/>
      <c r="T75" s="9"/>
      <c r="U75" s="9"/>
      <c r="V75" s="11"/>
      <c r="W75" s="9"/>
      <c r="X75" s="11"/>
    </row>
    <row r="76" spans="1:24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/>
      <c r="P76" s="10"/>
      <c r="Q76" s="9"/>
      <c r="R76" s="11"/>
      <c r="S76" s="8"/>
      <c r="T76" s="9"/>
      <c r="U76" s="9"/>
      <c r="V76" s="11"/>
      <c r="W76" s="9"/>
      <c r="X76" s="11"/>
    </row>
    <row r="77" spans="1:24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/>
      <c r="P77" s="10"/>
      <c r="Q77" s="9"/>
      <c r="R77" s="11"/>
      <c r="S77" s="8"/>
      <c r="T77" s="9"/>
      <c r="U77" s="9"/>
      <c r="V77" s="11"/>
      <c r="W77" s="9"/>
      <c r="X77" s="11"/>
    </row>
    <row r="78" spans="1:24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0"/>
      <c r="P78" s="10"/>
      <c r="Q78" s="9"/>
      <c r="R78" s="11"/>
      <c r="S78" s="8"/>
      <c r="T78" s="9"/>
      <c r="U78" s="9"/>
      <c r="V78" s="11"/>
      <c r="W78" s="9"/>
      <c r="X78" s="11"/>
    </row>
    <row r="79" spans="1:24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0"/>
      <c r="P79" s="10"/>
      <c r="Q79" s="9"/>
      <c r="R79" s="11"/>
      <c r="S79" s="8"/>
      <c r="T79" s="9"/>
      <c r="U79" s="9"/>
      <c r="V79" s="11"/>
      <c r="W79" s="9"/>
      <c r="X79" s="11"/>
    </row>
    <row r="80" spans="1:24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0"/>
      <c r="P80" s="10"/>
      <c r="Q80" s="9"/>
      <c r="R80" s="11"/>
      <c r="S80" s="8"/>
      <c r="T80" s="9"/>
      <c r="U80" s="9"/>
      <c r="V80" s="11"/>
      <c r="W80" s="9"/>
      <c r="X80" s="11"/>
    </row>
    <row r="81" spans="1:24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10"/>
      <c r="P81" s="10"/>
      <c r="Q81" s="9"/>
      <c r="R81" s="11"/>
      <c r="S81" s="8"/>
      <c r="T81" s="9"/>
      <c r="U81" s="9"/>
      <c r="V81" s="11"/>
      <c r="W81" s="9"/>
      <c r="X81" s="11"/>
    </row>
    <row r="82" spans="1:24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10"/>
      <c r="P82" s="10"/>
      <c r="Q82" s="9"/>
      <c r="R82" s="11"/>
      <c r="S82" s="8"/>
      <c r="T82" s="9"/>
      <c r="U82" s="9"/>
      <c r="V82" s="11"/>
      <c r="W82" s="9"/>
      <c r="X82" s="11"/>
    </row>
    <row r="83" spans="1:24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10"/>
      <c r="P83" s="10"/>
      <c r="Q83" s="9"/>
      <c r="R83" s="11"/>
      <c r="S83" s="8"/>
      <c r="T83" s="9"/>
      <c r="U83" s="9"/>
      <c r="V83" s="11"/>
      <c r="W83" s="9"/>
      <c r="X83" s="11"/>
    </row>
    <row r="84" spans="1:24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10"/>
      <c r="P84" s="10"/>
      <c r="Q84" s="9"/>
      <c r="R84" s="11"/>
      <c r="S84" s="8"/>
      <c r="T84" s="9"/>
      <c r="U84" s="9"/>
      <c r="V84" s="11"/>
      <c r="W84" s="9"/>
      <c r="X84" s="11"/>
    </row>
    <row r="85" spans="1:24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10"/>
      <c r="P85" s="10"/>
      <c r="Q85" s="9"/>
      <c r="R85" s="11"/>
      <c r="S85" s="8"/>
      <c r="T85" s="9"/>
      <c r="U85" s="9"/>
      <c r="V85" s="11"/>
      <c r="W85" s="9"/>
      <c r="X85" s="11"/>
    </row>
    <row r="86" spans="1:24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10"/>
      <c r="P86" s="10"/>
      <c r="Q86" s="9"/>
      <c r="R86" s="11"/>
      <c r="S86" s="8"/>
      <c r="T86" s="9"/>
      <c r="U86" s="9"/>
      <c r="V86" s="11"/>
      <c r="W86" s="9"/>
      <c r="X86" s="11"/>
    </row>
    <row r="87" spans="1:24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10"/>
      <c r="P87" s="10"/>
      <c r="Q87" s="9"/>
      <c r="R87" s="11"/>
      <c r="S87" s="8"/>
      <c r="T87" s="9"/>
      <c r="U87" s="9"/>
      <c r="V87" s="11"/>
      <c r="W87" s="9"/>
      <c r="X87" s="11"/>
    </row>
    <row r="88" spans="1:24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10"/>
      <c r="P88" s="10"/>
      <c r="Q88" s="9"/>
      <c r="R88" s="11"/>
      <c r="S88" s="8"/>
      <c r="T88" s="9"/>
      <c r="U88" s="9"/>
      <c r="V88" s="11"/>
      <c r="W88" s="9"/>
      <c r="X88" s="11"/>
    </row>
    <row r="89" spans="1:24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10"/>
      <c r="P89" s="10"/>
      <c r="Q89" s="9"/>
      <c r="R89" s="11"/>
      <c r="S89" s="8"/>
      <c r="T89" s="9"/>
      <c r="U89" s="9"/>
      <c r="V89" s="11"/>
      <c r="W89" s="9"/>
      <c r="X89" s="11"/>
    </row>
    <row r="90" spans="1:24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0"/>
      <c r="P90" s="10"/>
      <c r="Q90" s="9"/>
      <c r="R90" s="11"/>
      <c r="S90" s="8"/>
      <c r="T90" s="9"/>
      <c r="U90" s="9"/>
      <c r="V90" s="11"/>
      <c r="W90" s="9"/>
      <c r="X90" s="11"/>
    </row>
    <row r="91" spans="1:24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10"/>
      <c r="P91" s="10"/>
      <c r="Q91" s="9"/>
      <c r="R91" s="11"/>
      <c r="S91" s="8"/>
      <c r="T91" s="9"/>
      <c r="U91" s="9"/>
      <c r="V91" s="11"/>
      <c r="W91" s="9"/>
      <c r="X91" s="11"/>
    </row>
    <row r="92" spans="1:24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10"/>
      <c r="P92" s="10"/>
      <c r="Q92" s="9"/>
      <c r="R92" s="11"/>
      <c r="S92" s="8"/>
      <c r="T92" s="9"/>
      <c r="U92" s="9"/>
      <c r="V92" s="11"/>
      <c r="W92" s="9"/>
      <c r="X92" s="11"/>
    </row>
    <row r="93" spans="1:24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10"/>
      <c r="P93" s="10"/>
      <c r="Q93" s="9"/>
      <c r="R93" s="11"/>
      <c r="S93" s="8"/>
      <c r="T93" s="9"/>
      <c r="U93" s="9"/>
      <c r="V93" s="11"/>
      <c r="W93" s="9"/>
      <c r="X93" s="11"/>
    </row>
    <row r="94" spans="1:24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10"/>
      <c r="P94" s="10"/>
      <c r="Q94" s="9"/>
      <c r="R94" s="11"/>
      <c r="S94" s="8"/>
      <c r="T94" s="9"/>
      <c r="U94" s="9"/>
      <c r="V94" s="11"/>
      <c r="W94" s="9"/>
      <c r="X94" s="11"/>
    </row>
    <row r="95" spans="1:24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10"/>
      <c r="P95" s="10"/>
      <c r="Q95" s="9"/>
      <c r="R95" s="11"/>
      <c r="S95" s="8"/>
      <c r="T95" s="9"/>
      <c r="U95" s="9"/>
      <c r="V95" s="11"/>
      <c r="W95" s="9"/>
      <c r="X95" s="11"/>
    </row>
    <row r="96" spans="1:24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0"/>
      <c r="P96" s="10"/>
      <c r="Q96" s="9"/>
      <c r="R96" s="11"/>
      <c r="S96" s="8"/>
      <c r="T96" s="9"/>
      <c r="U96" s="9"/>
      <c r="V96" s="11"/>
      <c r="W96" s="9"/>
      <c r="X96" s="11"/>
    </row>
    <row r="97" spans="1:24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10"/>
      <c r="P97" s="10"/>
      <c r="Q97" s="9"/>
      <c r="R97" s="11"/>
      <c r="S97" s="8"/>
      <c r="T97" s="9"/>
      <c r="U97" s="9"/>
      <c r="V97" s="11"/>
      <c r="W97" s="9"/>
      <c r="X97" s="11"/>
    </row>
    <row r="98" spans="1:24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10"/>
      <c r="P98" s="10"/>
      <c r="Q98" s="9"/>
      <c r="R98" s="11"/>
      <c r="S98" s="8"/>
      <c r="T98" s="9"/>
      <c r="U98" s="9"/>
      <c r="V98" s="11"/>
      <c r="W98" s="9"/>
      <c r="X98" s="11"/>
    </row>
    <row r="99" spans="1:24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0"/>
      <c r="P99" s="10"/>
      <c r="Q99" s="9"/>
      <c r="R99" s="11"/>
      <c r="S99" s="8"/>
      <c r="T99" s="9"/>
      <c r="U99" s="9"/>
      <c r="V99" s="11"/>
      <c r="W99" s="9"/>
      <c r="X99" s="11"/>
    </row>
    <row r="100" spans="1:24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10"/>
      <c r="P100" s="10"/>
      <c r="Q100" s="9"/>
      <c r="R100" s="11"/>
      <c r="S100" s="8"/>
      <c r="T100" s="9"/>
      <c r="U100" s="9"/>
      <c r="V100" s="11"/>
      <c r="W100" s="9"/>
      <c r="X100" s="11"/>
    </row>
    <row r="101" spans="1:24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10"/>
      <c r="P101" s="10"/>
      <c r="Q101" s="9"/>
      <c r="R101" s="11"/>
      <c r="S101" s="8"/>
      <c r="T101" s="9"/>
      <c r="U101" s="9"/>
      <c r="V101" s="11"/>
      <c r="W101" s="9"/>
      <c r="X101" s="11"/>
    </row>
    <row r="102" spans="1:24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10"/>
      <c r="P102" s="10"/>
      <c r="Q102" s="9"/>
      <c r="R102" s="11"/>
      <c r="S102" s="8"/>
      <c r="T102" s="9"/>
      <c r="U102" s="9"/>
      <c r="V102" s="11"/>
      <c r="W102" s="9"/>
      <c r="X102" s="11"/>
    </row>
    <row r="103" spans="1:24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10"/>
      <c r="P103" s="10"/>
      <c r="Q103" s="9"/>
      <c r="R103" s="11"/>
      <c r="S103" s="8"/>
      <c r="T103" s="9"/>
      <c r="U103" s="9"/>
      <c r="V103" s="11"/>
      <c r="W103" s="9"/>
      <c r="X103" s="11"/>
    </row>
    <row r="104" spans="1:24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10"/>
      <c r="P104" s="10"/>
      <c r="Q104" s="9"/>
      <c r="R104" s="11"/>
      <c r="S104" s="8"/>
      <c r="T104" s="9"/>
      <c r="U104" s="9"/>
      <c r="V104" s="11"/>
      <c r="W104" s="9"/>
      <c r="X104" s="11"/>
    </row>
    <row r="105" spans="1:24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10"/>
      <c r="P105" s="10"/>
      <c r="Q105" s="9"/>
      <c r="R105" s="11"/>
      <c r="S105" s="8"/>
      <c r="T105" s="9"/>
      <c r="U105" s="9"/>
      <c r="V105" s="11"/>
      <c r="W105" s="9"/>
      <c r="X105" s="11"/>
    </row>
    <row r="106" spans="1:24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10"/>
      <c r="P106" s="10"/>
      <c r="Q106" s="9"/>
      <c r="R106" s="11"/>
      <c r="S106" s="8"/>
      <c r="T106" s="9"/>
      <c r="U106" s="9"/>
      <c r="V106" s="11"/>
      <c r="W106" s="9"/>
      <c r="X106" s="11"/>
    </row>
    <row r="107" spans="1:24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10"/>
      <c r="P107" s="10"/>
      <c r="Q107" s="9"/>
      <c r="R107" s="11"/>
      <c r="S107" s="8"/>
      <c r="T107" s="9"/>
      <c r="U107" s="9"/>
      <c r="V107" s="11"/>
      <c r="W107" s="9"/>
      <c r="X107" s="11"/>
    </row>
    <row r="108" spans="1:24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10"/>
      <c r="P108" s="10"/>
      <c r="Q108" s="9"/>
      <c r="R108" s="11"/>
      <c r="S108" s="8"/>
      <c r="T108" s="9"/>
      <c r="U108" s="9"/>
      <c r="V108" s="11"/>
      <c r="W108" s="9"/>
      <c r="X108" s="11"/>
    </row>
    <row r="109" spans="1:24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10"/>
      <c r="P109" s="10"/>
      <c r="Q109" s="9"/>
      <c r="R109" s="11"/>
      <c r="S109" s="8"/>
      <c r="T109" s="9"/>
      <c r="U109" s="9"/>
      <c r="V109" s="11"/>
      <c r="W109" s="9"/>
      <c r="X109" s="11"/>
    </row>
    <row r="110" spans="1:24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10"/>
      <c r="P110" s="10"/>
      <c r="Q110" s="9"/>
      <c r="R110" s="11"/>
      <c r="S110" s="8"/>
      <c r="T110" s="9"/>
      <c r="U110" s="9"/>
      <c r="V110" s="11"/>
      <c r="W110" s="9"/>
      <c r="X110" s="11"/>
    </row>
    <row r="111" spans="1:24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10"/>
      <c r="P111" s="10"/>
      <c r="Q111" s="9"/>
      <c r="R111" s="11"/>
      <c r="S111" s="8"/>
      <c r="T111" s="9"/>
      <c r="U111" s="9"/>
      <c r="V111" s="11"/>
      <c r="W111" s="9"/>
      <c r="X111" s="11"/>
    </row>
    <row r="112" spans="1:24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10"/>
      <c r="P112" s="10"/>
      <c r="Q112" s="9"/>
      <c r="R112" s="11"/>
      <c r="S112" s="8"/>
      <c r="T112" s="9"/>
      <c r="U112" s="9"/>
      <c r="V112" s="11"/>
      <c r="W112" s="9"/>
      <c r="X112" s="11"/>
    </row>
    <row r="113" spans="1:24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10"/>
      <c r="P113" s="10"/>
      <c r="Q113" s="9"/>
      <c r="R113" s="11"/>
      <c r="S113" s="8"/>
      <c r="T113" s="9"/>
      <c r="U113" s="9"/>
      <c r="V113" s="11"/>
      <c r="W113" s="9"/>
      <c r="X113" s="11"/>
    </row>
    <row r="114" spans="1:24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10"/>
      <c r="P114" s="10"/>
      <c r="Q114" s="9"/>
      <c r="R114" s="11"/>
      <c r="S114" s="8"/>
      <c r="T114" s="9"/>
      <c r="U114" s="9"/>
      <c r="V114" s="11"/>
      <c r="W114" s="9"/>
      <c r="X114" s="11"/>
    </row>
    <row r="115" spans="1:24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10"/>
      <c r="P115" s="10"/>
      <c r="Q115" s="9"/>
      <c r="R115" s="11"/>
      <c r="S115" s="8"/>
      <c r="T115" s="9"/>
      <c r="U115" s="9"/>
      <c r="V115" s="11"/>
      <c r="W115" s="9"/>
      <c r="X115" s="11"/>
    </row>
    <row r="116" spans="1:24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10"/>
      <c r="P116" s="10"/>
      <c r="Q116" s="9"/>
      <c r="R116" s="11"/>
      <c r="S116" s="8"/>
      <c r="T116" s="9"/>
      <c r="U116" s="9"/>
      <c r="V116" s="11"/>
      <c r="W116" s="9"/>
      <c r="X116" s="11"/>
    </row>
    <row r="117" spans="1:24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10"/>
      <c r="P117" s="10"/>
      <c r="Q117" s="9"/>
      <c r="R117" s="11"/>
      <c r="S117" s="8"/>
      <c r="T117" s="9"/>
      <c r="U117" s="9"/>
      <c r="V117" s="11"/>
      <c r="W117" s="9"/>
      <c r="X117" s="11"/>
    </row>
    <row r="118" spans="1:24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10"/>
      <c r="P118" s="10"/>
      <c r="Q118" s="9"/>
      <c r="R118" s="11"/>
      <c r="S118" s="8"/>
      <c r="T118" s="9"/>
      <c r="U118" s="9"/>
      <c r="V118" s="11"/>
      <c r="W118" s="9"/>
      <c r="X118" s="11"/>
    </row>
    <row r="119" spans="1:24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0"/>
      <c r="P119" s="10"/>
      <c r="Q119" s="9"/>
      <c r="R119" s="11"/>
      <c r="S119" s="8"/>
      <c r="T119" s="9"/>
      <c r="U119" s="9"/>
      <c r="V119" s="11"/>
      <c r="W119" s="9"/>
      <c r="X119" s="11"/>
    </row>
    <row r="120" spans="1:24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10"/>
      <c r="P120" s="10"/>
      <c r="Q120" s="9"/>
      <c r="R120" s="11"/>
      <c r="S120" s="8"/>
      <c r="T120" s="9"/>
      <c r="U120" s="9"/>
      <c r="V120" s="11"/>
      <c r="W120" s="9"/>
      <c r="X120" s="11"/>
    </row>
    <row r="121" spans="1:24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10"/>
      <c r="P121" s="10"/>
      <c r="Q121" s="9"/>
      <c r="R121" s="11"/>
      <c r="S121" s="8"/>
      <c r="T121" s="9"/>
      <c r="U121" s="9"/>
      <c r="V121" s="11"/>
      <c r="W121" s="9"/>
      <c r="X121" s="11"/>
    </row>
    <row r="122" spans="1:24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10"/>
      <c r="P122" s="10"/>
      <c r="Q122" s="9"/>
      <c r="R122" s="11"/>
      <c r="S122" s="8"/>
      <c r="T122" s="9"/>
      <c r="U122" s="9"/>
      <c r="V122" s="11"/>
      <c r="W122" s="9"/>
      <c r="X122" s="11"/>
    </row>
    <row r="123" spans="1:24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10"/>
      <c r="P123" s="10"/>
      <c r="Q123" s="9"/>
      <c r="R123" s="11"/>
      <c r="S123" s="8"/>
      <c r="T123" s="9"/>
      <c r="U123" s="9"/>
      <c r="V123" s="11"/>
      <c r="W123" s="9"/>
      <c r="X123" s="11"/>
    </row>
    <row r="124" spans="1:24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10"/>
      <c r="P124" s="10"/>
      <c r="Q124" s="9"/>
      <c r="R124" s="11"/>
      <c r="S124" s="8"/>
      <c r="T124" s="9"/>
      <c r="U124" s="9"/>
      <c r="V124" s="11"/>
      <c r="W124" s="9"/>
      <c r="X124" s="11"/>
    </row>
    <row r="125" spans="1:24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10"/>
      <c r="P125" s="10"/>
      <c r="Q125" s="9"/>
      <c r="R125" s="11"/>
      <c r="S125" s="8"/>
      <c r="T125" s="9"/>
      <c r="U125" s="9"/>
      <c r="V125" s="11"/>
      <c r="W125" s="9"/>
      <c r="X125" s="11"/>
    </row>
    <row r="126" spans="1:24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10"/>
      <c r="P126" s="10"/>
      <c r="Q126" s="9"/>
      <c r="R126" s="11"/>
      <c r="S126" s="8"/>
      <c r="T126" s="9"/>
      <c r="U126" s="9"/>
      <c r="V126" s="11"/>
      <c r="W126" s="9"/>
      <c r="X126" s="11"/>
    </row>
    <row r="127" spans="1:24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10"/>
      <c r="P127" s="10"/>
      <c r="Q127" s="9"/>
      <c r="R127" s="11"/>
      <c r="S127" s="8"/>
      <c r="T127" s="9"/>
      <c r="U127" s="9"/>
      <c r="V127" s="11"/>
      <c r="W127" s="9"/>
      <c r="X127" s="11"/>
    </row>
    <row r="128" spans="1:24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10"/>
      <c r="P128" s="10"/>
      <c r="Q128" s="9"/>
      <c r="R128" s="11"/>
      <c r="S128" s="8"/>
      <c r="T128" s="9"/>
      <c r="U128" s="9"/>
      <c r="V128" s="11"/>
      <c r="W128" s="9"/>
      <c r="X128" s="11"/>
    </row>
    <row r="129" spans="1:24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10"/>
      <c r="P129" s="10"/>
      <c r="Q129" s="9"/>
      <c r="R129" s="11"/>
      <c r="S129" s="8"/>
      <c r="T129" s="9"/>
      <c r="U129" s="9"/>
      <c r="V129" s="11"/>
      <c r="W129" s="9"/>
      <c r="X129" s="11"/>
    </row>
    <row r="130" spans="1:24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10"/>
      <c r="P130" s="10"/>
      <c r="Q130" s="9"/>
      <c r="R130" s="11"/>
      <c r="S130" s="8"/>
      <c r="T130" s="9"/>
      <c r="U130" s="9"/>
      <c r="V130" s="11"/>
      <c r="W130" s="9"/>
      <c r="X130" s="11"/>
    </row>
    <row r="131" spans="1:24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10"/>
      <c r="P131" s="10"/>
      <c r="Q131" s="9"/>
      <c r="R131" s="11"/>
      <c r="S131" s="8"/>
      <c r="T131" s="9"/>
      <c r="U131" s="9"/>
      <c r="V131" s="11"/>
      <c r="W131" s="9"/>
      <c r="X131" s="11"/>
    </row>
    <row r="132" spans="1:24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10"/>
      <c r="P132" s="10"/>
      <c r="Q132" s="9"/>
      <c r="R132" s="11"/>
      <c r="S132" s="8"/>
      <c r="T132" s="9"/>
      <c r="U132" s="9"/>
      <c r="V132" s="11"/>
      <c r="W132" s="9"/>
      <c r="X132" s="11"/>
    </row>
    <row r="133" spans="1:24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10"/>
      <c r="P133" s="10"/>
      <c r="Q133" s="9"/>
      <c r="R133" s="11"/>
      <c r="S133" s="8"/>
      <c r="T133" s="9"/>
      <c r="U133" s="9"/>
      <c r="V133" s="11"/>
      <c r="W133" s="9"/>
      <c r="X133" s="11"/>
    </row>
    <row r="134" spans="1:24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10"/>
      <c r="P134" s="10"/>
      <c r="Q134" s="9"/>
      <c r="R134" s="11"/>
      <c r="S134" s="8"/>
      <c r="T134" s="9"/>
      <c r="U134" s="9"/>
      <c r="V134" s="11"/>
      <c r="W134" s="9"/>
      <c r="X134" s="11"/>
    </row>
    <row r="135" spans="1:24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10"/>
      <c r="P135" s="10"/>
      <c r="Q135" s="9"/>
      <c r="R135" s="11"/>
      <c r="S135" s="8"/>
      <c r="T135" s="9"/>
      <c r="U135" s="9"/>
      <c r="V135" s="11"/>
      <c r="W135" s="9"/>
      <c r="X135" s="11"/>
    </row>
    <row r="136" spans="1:24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10"/>
      <c r="P136" s="10"/>
      <c r="Q136" s="9"/>
      <c r="R136" s="11"/>
      <c r="S136" s="8"/>
      <c r="T136" s="9"/>
      <c r="U136" s="9"/>
      <c r="V136" s="11"/>
      <c r="W136" s="9"/>
      <c r="X136" s="11"/>
    </row>
    <row r="137" spans="1:24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10"/>
      <c r="P137" s="10"/>
      <c r="Q137" s="9"/>
      <c r="R137" s="11"/>
      <c r="S137" s="8"/>
      <c r="T137" s="9"/>
      <c r="U137" s="9"/>
      <c r="V137" s="11"/>
      <c r="W137" s="9"/>
      <c r="X137" s="11"/>
    </row>
    <row r="138" spans="1:24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10"/>
      <c r="P138" s="10"/>
      <c r="Q138" s="9"/>
      <c r="R138" s="11"/>
      <c r="S138" s="8"/>
      <c r="T138" s="9"/>
      <c r="U138" s="9"/>
      <c r="V138" s="11"/>
      <c r="W138" s="9"/>
      <c r="X138" s="11"/>
    </row>
    <row r="139" spans="1:24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10"/>
      <c r="P139" s="10"/>
      <c r="Q139" s="9"/>
      <c r="R139" s="11"/>
      <c r="S139" s="8"/>
      <c r="T139" s="9"/>
      <c r="U139" s="9"/>
      <c r="V139" s="11"/>
      <c r="W139" s="9"/>
      <c r="X139" s="11"/>
    </row>
    <row r="140" spans="1:24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10"/>
      <c r="P140" s="10"/>
      <c r="Q140" s="9"/>
      <c r="R140" s="11"/>
      <c r="S140" s="8"/>
      <c r="T140" s="9"/>
      <c r="U140" s="9"/>
      <c r="V140" s="11"/>
      <c r="W140" s="9"/>
      <c r="X140" s="11"/>
    </row>
    <row r="141" spans="1:24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10"/>
      <c r="P141" s="10"/>
      <c r="Q141" s="9"/>
      <c r="R141" s="11"/>
      <c r="S141" s="8"/>
      <c r="T141" s="9"/>
      <c r="U141" s="9"/>
      <c r="V141" s="11"/>
      <c r="W141" s="9"/>
      <c r="X141" s="11"/>
    </row>
    <row r="142" spans="1:24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10"/>
      <c r="P142" s="10"/>
      <c r="Q142" s="9"/>
      <c r="R142" s="11"/>
      <c r="S142" s="8"/>
      <c r="T142" s="9"/>
      <c r="U142" s="9"/>
      <c r="V142" s="11"/>
      <c r="W142" s="9"/>
      <c r="X142" s="11"/>
    </row>
    <row r="143" spans="1:24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10"/>
      <c r="P143" s="10"/>
      <c r="Q143" s="9"/>
      <c r="R143" s="11"/>
      <c r="S143" s="8"/>
      <c r="T143" s="9"/>
      <c r="U143" s="9"/>
      <c r="V143" s="11"/>
      <c r="W143" s="9"/>
      <c r="X143" s="11"/>
    </row>
    <row r="144" spans="1:24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10"/>
      <c r="P144" s="10"/>
      <c r="Q144" s="9"/>
      <c r="R144" s="11"/>
      <c r="S144" s="8"/>
      <c r="T144" s="9"/>
      <c r="U144" s="9"/>
      <c r="V144" s="11"/>
      <c r="W144" s="9"/>
      <c r="X144" s="11"/>
    </row>
    <row r="145" spans="1:24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10"/>
      <c r="P145" s="10"/>
      <c r="Q145" s="9"/>
      <c r="R145" s="11"/>
      <c r="S145" s="8"/>
      <c r="T145" s="9"/>
      <c r="U145" s="9"/>
      <c r="V145" s="11"/>
      <c r="W145" s="9"/>
      <c r="X145" s="11"/>
    </row>
    <row r="146" spans="1:24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0"/>
      <c r="P146" s="10"/>
      <c r="Q146" s="9"/>
      <c r="R146" s="11"/>
      <c r="S146" s="8"/>
      <c r="T146" s="9"/>
      <c r="U146" s="9"/>
      <c r="V146" s="11"/>
      <c r="W146" s="9"/>
      <c r="X146" s="11"/>
    </row>
    <row r="147" spans="1:24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10"/>
      <c r="P147" s="10"/>
      <c r="Q147" s="9"/>
      <c r="R147" s="11"/>
      <c r="S147" s="8"/>
      <c r="T147" s="9"/>
      <c r="U147" s="9"/>
      <c r="V147" s="11"/>
      <c r="W147" s="9"/>
      <c r="X147" s="11"/>
    </row>
    <row r="148" spans="1:24">
      <c r="A148" s="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10"/>
      <c r="P148" s="10"/>
      <c r="Q148" s="9"/>
      <c r="R148" s="11"/>
      <c r="S148" s="8"/>
      <c r="T148" s="9"/>
      <c r="U148" s="9"/>
      <c r="V148" s="11"/>
      <c r="W148" s="9"/>
      <c r="X148" s="11"/>
    </row>
    <row r="149" spans="1:24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10"/>
      <c r="P149" s="10"/>
      <c r="Q149" s="9"/>
      <c r="R149" s="11"/>
      <c r="S149" s="8"/>
      <c r="T149" s="9"/>
      <c r="U149" s="9"/>
      <c r="V149" s="11"/>
      <c r="W149" s="9"/>
      <c r="X149" s="11"/>
    </row>
    <row r="150" spans="1:24">
      <c r="A150" s="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10"/>
      <c r="P150" s="10"/>
      <c r="Q150" s="9"/>
      <c r="R150" s="11"/>
      <c r="S150" s="8"/>
      <c r="T150" s="9"/>
      <c r="U150" s="9"/>
      <c r="V150" s="11"/>
      <c r="W150" s="9"/>
      <c r="X150" s="11"/>
    </row>
    <row r="151" spans="1:24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10"/>
      <c r="P151" s="10"/>
      <c r="Q151" s="9"/>
      <c r="R151" s="11"/>
      <c r="S151" s="8"/>
      <c r="T151" s="9"/>
      <c r="U151" s="9"/>
      <c r="V151" s="11"/>
      <c r="W151" s="9"/>
      <c r="X151" s="11"/>
    </row>
    <row r="152" spans="1:24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10"/>
      <c r="P152" s="10"/>
      <c r="Q152" s="9"/>
      <c r="R152" s="11"/>
      <c r="S152" s="8"/>
      <c r="T152" s="9"/>
      <c r="U152" s="9"/>
      <c r="V152" s="11"/>
      <c r="W152" s="9"/>
      <c r="X152" s="11"/>
    </row>
    <row r="153" spans="1:24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10"/>
      <c r="P153" s="10"/>
      <c r="Q153" s="9"/>
      <c r="R153" s="11"/>
      <c r="S153" s="8"/>
      <c r="T153" s="9"/>
      <c r="U153" s="9"/>
      <c r="V153" s="11"/>
      <c r="W153" s="9"/>
      <c r="X153" s="11"/>
    </row>
    <row r="154" spans="1:24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10"/>
      <c r="P154" s="10"/>
      <c r="Q154" s="9"/>
      <c r="R154" s="11"/>
      <c r="S154" s="8"/>
      <c r="T154" s="9"/>
      <c r="U154" s="9"/>
      <c r="V154" s="11"/>
      <c r="W154" s="9"/>
      <c r="X154" s="11"/>
    </row>
    <row r="155" spans="1:24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10"/>
      <c r="P155" s="10"/>
      <c r="Q155" s="9"/>
      <c r="R155" s="11"/>
      <c r="S155" s="8"/>
      <c r="T155" s="9"/>
      <c r="U155" s="9"/>
      <c r="V155" s="11"/>
      <c r="W155" s="9"/>
      <c r="X155" s="11"/>
    </row>
    <row r="156" spans="1:24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10"/>
      <c r="P156" s="10"/>
      <c r="Q156" s="9"/>
      <c r="R156" s="11"/>
      <c r="S156" s="8"/>
      <c r="T156" s="9"/>
      <c r="U156" s="9"/>
      <c r="V156" s="11"/>
      <c r="W156" s="9"/>
      <c r="X156" s="11"/>
    </row>
    <row r="157" spans="1:24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10"/>
      <c r="P157" s="10"/>
      <c r="Q157" s="9"/>
      <c r="R157" s="11"/>
      <c r="S157" s="8"/>
      <c r="T157" s="9"/>
      <c r="U157" s="9"/>
      <c r="V157" s="11"/>
      <c r="W157" s="9"/>
      <c r="X157" s="11"/>
    </row>
    <row r="158" spans="1:24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10"/>
      <c r="P158" s="10"/>
      <c r="Q158" s="9"/>
      <c r="R158" s="11"/>
      <c r="S158" s="8"/>
      <c r="T158" s="9"/>
      <c r="U158" s="9"/>
      <c r="V158" s="11"/>
      <c r="W158" s="9"/>
      <c r="X158" s="11"/>
    </row>
    <row r="159" spans="1:24">
      <c r="A159" s="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10"/>
      <c r="P159" s="10"/>
      <c r="Q159" s="9"/>
      <c r="R159" s="11"/>
      <c r="S159" s="8"/>
      <c r="T159" s="9"/>
      <c r="U159" s="9"/>
      <c r="V159" s="11"/>
      <c r="W159" s="9"/>
      <c r="X159" s="11"/>
    </row>
    <row r="160" spans="1:24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10"/>
      <c r="P160" s="10"/>
      <c r="Q160" s="9"/>
      <c r="R160" s="11"/>
      <c r="S160" s="8"/>
      <c r="T160" s="9"/>
      <c r="U160" s="9"/>
      <c r="V160" s="11"/>
      <c r="W160" s="9"/>
      <c r="X160" s="11"/>
    </row>
    <row r="161" spans="1:24">
      <c r="A161" s="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10"/>
      <c r="P161" s="10"/>
      <c r="Q161" s="9"/>
      <c r="R161" s="11"/>
      <c r="S161" s="8"/>
      <c r="T161" s="9"/>
      <c r="U161" s="9"/>
      <c r="V161" s="11"/>
      <c r="W161" s="9"/>
      <c r="X161" s="11"/>
    </row>
    <row r="162" spans="1:24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10"/>
      <c r="P162" s="10"/>
      <c r="Q162" s="9"/>
      <c r="R162" s="11"/>
      <c r="S162" s="8"/>
      <c r="T162" s="9"/>
      <c r="U162" s="9"/>
      <c r="V162" s="11"/>
      <c r="W162" s="9"/>
      <c r="X162" s="11"/>
    </row>
    <row r="163" spans="1:24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10"/>
      <c r="P163" s="10"/>
      <c r="Q163" s="9"/>
      <c r="R163" s="11"/>
      <c r="S163" s="8"/>
      <c r="T163" s="9"/>
      <c r="U163" s="9"/>
      <c r="V163" s="11"/>
      <c r="W163" s="9"/>
      <c r="X163" s="11"/>
    </row>
    <row r="164" spans="1:24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10"/>
      <c r="P164" s="10"/>
      <c r="Q164" s="9"/>
      <c r="R164" s="11"/>
      <c r="S164" s="8"/>
      <c r="T164" s="9"/>
      <c r="U164" s="9"/>
      <c r="V164" s="11"/>
      <c r="W164" s="9"/>
      <c r="X164" s="11"/>
    </row>
    <row r="165" spans="1:24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10"/>
      <c r="P165" s="10"/>
      <c r="Q165" s="9"/>
      <c r="R165" s="11"/>
      <c r="S165" s="8"/>
      <c r="T165" s="9"/>
      <c r="U165" s="9"/>
      <c r="V165" s="11"/>
      <c r="W165" s="9"/>
      <c r="X165" s="11"/>
    </row>
    <row r="166" spans="1:24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10"/>
      <c r="P166" s="10"/>
      <c r="Q166" s="9"/>
      <c r="R166" s="11"/>
      <c r="S166" s="8"/>
      <c r="T166" s="9"/>
      <c r="U166" s="9"/>
      <c r="V166" s="11"/>
      <c r="W166" s="9"/>
      <c r="X166" s="11"/>
    </row>
    <row r="167" spans="1:24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10"/>
      <c r="P167" s="10"/>
      <c r="Q167" s="9"/>
      <c r="R167" s="11"/>
      <c r="S167" s="8"/>
      <c r="T167" s="9"/>
      <c r="U167" s="9"/>
      <c r="V167" s="11"/>
      <c r="W167" s="9"/>
      <c r="X167" s="11"/>
    </row>
    <row r="168" spans="1:24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10"/>
      <c r="P168" s="10"/>
      <c r="Q168" s="9"/>
      <c r="R168" s="11"/>
      <c r="S168" s="8"/>
      <c r="T168" s="9"/>
      <c r="U168" s="9"/>
      <c r="V168" s="11"/>
      <c r="W168" s="9"/>
      <c r="X168" s="11"/>
    </row>
    <row r="169" spans="1:24">
      <c r="A169" s="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10"/>
      <c r="P169" s="10"/>
      <c r="Q169" s="9"/>
      <c r="R169" s="11"/>
      <c r="S169" s="8"/>
      <c r="T169" s="9"/>
      <c r="U169" s="9"/>
      <c r="V169" s="11"/>
      <c r="W169" s="9"/>
      <c r="X169" s="11"/>
    </row>
    <row r="170" spans="1:24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10"/>
      <c r="P170" s="10"/>
      <c r="Q170" s="9"/>
      <c r="R170" s="11"/>
      <c r="S170" s="8"/>
      <c r="T170" s="9"/>
      <c r="U170" s="9"/>
      <c r="V170" s="11"/>
      <c r="W170" s="9"/>
      <c r="X170" s="11"/>
    </row>
    <row r="171" spans="1:24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10"/>
      <c r="P171" s="10"/>
      <c r="Q171" s="9"/>
      <c r="R171" s="11"/>
      <c r="S171" s="8"/>
      <c r="T171" s="9"/>
      <c r="U171" s="9"/>
      <c r="V171" s="11"/>
      <c r="W171" s="9"/>
      <c r="X171" s="11"/>
    </row>
    <row r="172" spans="1:24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10"/>
      <c r="P172" s="10"/>
      <c r="Q172" s="9"/>
      <c r="R172" s="11"/>
      <c r="S172" s="8"/>
      <c r="T172" s="9"/>
      <c r="U172" s="9"/>
      <c r="V172" s="11"/>
      <c r="W172" s="9"/>
      <c r="X172" s="11"/>
    </row>
    <row r="173" spans="1:24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10"/>
      <c r="P173" s="10"/>
      <c r="Q173" s="9"/>
      <c r="R173" s="11"/>
      <c r="S173" s="8"/>
      <c r="T173" s="9"/>
      <c r="U173" s="9"/>
      <c r="V173" s="11"/>
      <c r="W173" s="9"/>
      <c r="X173" s="11"/>
    </row>
    <row r="174" spans="1:24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10"/>
      <c r="P174" s="10"/>
      <c r="Q174" s="9"/>
      <c r="R174" s="11"/>
      <c r="S174" s="8"/>
      <c r="T174" s="9"/>
      <c r="U174" s="9"/>
      <c r="V174" s="11"/>
      <c r="W174" s="9"/>
      <c r="X174" s="11"/>
    </row>
    <row r="175" spans="1:24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10"/>
      <c r="P175" s="10"/>
      <c r="Q175" s="9"/>
      <c r="R175" s="11"/>
      <c r="S175" s="8"/>
      <c r="T175" s="9"/>
      <c r="U175" s="9"/>
      <c r="V175" s="11"/>
      <c r="W175" s="9"/>
      <c r="X175" s="11"/>
    </row>
    <row r="176" spans="1:24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10"/>
      <c r="P176" s="10"/>
      <c r="Q176" s="9"/>
      <c r="R176" s="11"/>
      <c r="S176" s="8"/>
      <c r="T176" s="9"/>
      <c r="U176" s="9"/>
      <c r="V176" s="11"/>
      <c r="W176" s="9"/>
      <c r="X176" s="11"/>
    </row>
    <row r="177" spans="1:24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10"/>
      <c r="P177" s="10"/>
      <c r="Q177" s="9"/>
      <c r="R177" s="11"/>
      <c r="S177" s="8"/>
      <c r="T177" s="9"/>
      <c r="U177" s="9"/>
      <c r="V177" s="11"/>
      <c r="W177" s="9"/>
      <c r="X177" s="11"/>
    </row>
    <row r="178" spans="1:24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10"/>
      <c r="P178" s="10"/>
      <c r="Q178" s="9"/>
      <c r="R178" s="11"/>
      <c r="S178" s="8"/>
      <c r="T178" s="9"/>
      <c r="U178" s="9"/>
      <c r="V178" s="11"/>
      <c r="W178" s="9"/>
      <c r="X178" s="11"/>
    </row>
    <row r="179" spans="1:24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10"/>
      <c r="P179" s="10"/>
      <c r="Q179" s="9"/>
      <c r="R179" s="11"/>
      <c r="S179" s="8"/>
      <c r="T179" s="9"/>
      <c r="U179" s="9"/>
      <c r="V179" s="11"/>
      <c r="W179" s="9"/>
      <c r="X179" s="11"/>
    </row>
    <row r="180" spans="1:24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10"/>
      <c r="P180" s="10"/>
      <c r="Q180" s="9"/>
      <c r="R180" s="11"/>
      <c r="S180" s="8"/>
      <c r="T180" s="9"/>
      <c r="U180" s="9"/>
      <c r="V180" s="11"/>
      <c r="W180" s="9"/>
      <c r="X180" s="11"/>
    </row>
    <row r="181" spans="1:24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10"/>
      <c r="P181" s="10"/>
      <c r="Q181" s="9"/>
      <c r="R181" s="11"/>
      <c r="S181" s="8"/>
      <c r="T181" s="9"/>
      <c r="U181" s="9"/>
      <c r="V181" s="11"/>
      <c r="W181" s="9"/>
      <c r="X181" s="11"/>
    </row>
    <row r="182" spans="1:24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10"/>
      <c r="P182" s="10"/>
      <c r="Q182" s="9"/>
      <c r="R182" s="11"/>
      <c r="S182" s="8"/>
      <c r="T182" s="9"/>
      <c r="U182" s="9"/>
      <c r="V182" s="11"/>
      <c r="W182" s="9"/>
      <c r="X182" s="11"/>
    </row>
    <row r="183" spans="1:24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10"/>
      <c r="P183" s="10"/>
      <c r="Q183" s="9"/>
      <c r="R183" s="11"/>
      <c r="S183" s="8"/>
      <c r="T183" s="9"/>
      <c r="U183" s="9"/>
      <c r="V183" s="11"/>
      <c r="W183" s="9"/>
      <c r="X183" s="11"/>
    </row>
    <row r="184" spans="1:24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10"/>
      <c r="P184" s="10"/>
      <c r="Q184" s="9"/>
      <c r="R184" s="11"/>
      <c r="S184" s="8"/>
      <c r="T184" s="9"/>
      <c r="U184" s="9"/>
      <c r="V184" s="11"/>
      <c r="W184" s="9"/>
      <c r="X184" s="11"/>
    </row>
    <row r="185" spans="1:24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10"/>
      <c r="P185" s="10"/>
      <c r="Q185" s="9"/>
      <c r="R185" s="11"/>
      <c r="S185" s="8"/>
      <c r="T185" s="9"/>
      <c r="U185" s="9"/>
      <c r="V185" s="11"/>
      <c r="W185" s="9"/>
      <c r="X185" s="11"/>
    </row>
    <row r="186" spans="1:24">
      <c r="A186" s="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10"/>
      <c r="P186" s="10"/>
      <c r="Q186" s="9"/>
      <c r="R186" s="11"/>
      <c r="S186" s="8"/>
      <c r="T186" s="9"/>
      <c r="U186" s="9"/>
      <c r="V186" s="11"/>
      <c r="W186" s="9"/>
      <c r="X186" s="11"/>
    </row>
    <row r="187" spans="1:24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10"/>
      <c r="P187" s="10"/>
      <c r="Q187" s="9"/>
      <c r="R187" s="11"/>
      <c r="S187" s="8"/>
      <c r="T187" s="9"/>
      <c r="U187" s="9"/>
      <c r="V187" s="11"/>
      <c r="W187" s="9"/>
      <c r="X187" s="11"/>
    </row>
    <row r="188" spans="1:24">
      <c r="A188" s="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10"/>
      <c r="P188" s="10"/>
      <c r="Q188" s="9"/>
      <c r="R188" s="11"/>
      <c r="S188" s="8"/>
      <c r="T188" s="9"/>
      <c r="U188" s="9"/>
      <c r="V188" s="11"/>
      <c r="W188" s="9"/>
      <c r="X188" s="11"/>
    </row>
    <row r="189" spans="1:24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10"/>
      <c r="P189" s="10"/>
      <c r="Q189" s="9"/>
      <c r="R189" s="11"/>
      <c r="S189" s="8"/>
      <c r="T189" s="9"/>
      <c r="U189" s="9"/>
      <c r="V189" s="11"/>
      <c r="W189" s="9"/>
      <c r="X189" s="11"/>
    </row>
    <row r="190" spans="1:24">
      <c r="A190" s="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10"/>
      <c r="P190" s="10"/>
      <c r="Q190" s="9"/>
      <c r="R190" s="11"/>
      <c r="S190" s="8"/>
      <c r="T190" s="9"/>
      <c r="U190" s="9"/>
      <c r="V190" s="11"/>
      <c r="W190" s="9"/>
      <c r="X190" s="11"/>
    </row>
    <row r="191" spans="1:24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10"/>
      <c r="P191" s="10"/>
      <c r="Q191" s="9"/>
      <c r="R191" s="11"/>
      <c r="S191" s="8"/>
      <c r="T191" s="9"/>
      <c r="U191" s="9"/>
      <c r="V191" s="11"/>
      <c r="W191" s="9"/>
      <c r="X191" s="11"/>
    </row>
    <row r="192" spans="1:24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10"/>
      <c r="P192" s="10"/>
      <c r="Q192" s="9"/>
      <c r="R192" s="11"/>
      <c r="S192" s="8"/>
      <c r="T192" s="9"/>
      <c r="U192" s="9"/>
      <c r="V192" s="11"/>
      <c r="W192" s="9"/>
      <c r="X192" s="11"/>
    </row>
    <row r="193" spans="1:24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10"/>
      <c r="P193" s="10"/>
      <c r="Q193" s="9"/>
      <c r="R193" s="11"/>
      <c r="S193" s="8"/>
      <c r="T193" s="9"/>
      <c r="U193" s="9"/>
      <c r="V193" s="11"/>
      <c r="W193" s="9"/>
      <c r="X193" s="11"/>
    </row>
    <row r="194" spans="1:24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10"/>
      <c r="P194" s="10"/>
      <c r="Q194" s="9"/>
      <c r="R194" s="11"/>
      <c r="S194" s="8"/>
      <c r="T194" s="9"/>
      <c r="U194" s="9"/>
      <c r="V194" s="11"/>
      <c r="W194" s="9"/>
      <c r="X194" s="11"/>
    </row>
    <row r="195" spans="1:24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10"/>
      <c r="P195" s="10"/>
      <c r="Q195" s="9"/>
      <c r="R195" s="11"/>
      <c r="S195" s="8"/>
      <c r="T195" s="9"/>
      <c r="U195" s="9"/>
      <c r="V195" s="11"/>
      <c r="W195" s="9"/>
      <c r="X195" s="11"/>
    </row>
    <row r="196" spans="1:24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10"/>
      <c r="P196" s="10"/>
      <c r="Q196" s="9"/>
      <c r="R196" s="11"/>
      <c r="S196" s="8"/>
      <c r="T196" s="9"/>
      <c r="U196" s="9"/>
      <c r="V196" s="11"/>
      <c r="W196" s="9"/>
      <c r="X196" s="11"/>
    </row>
    <row r="197" spans="1:24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10"/>
      <c r="P197" s="10"/>
      <c r="Q197" s="9"/>
      <c r="R197" s="11"/>
      <c r="S197" s="8"/>
      <c r="T197" s="9"/>
      <c r="U197" s="9"/>
      <c r="V197" s="11"/>
      <c r="W197" s="9"/>
      <c r="X197" s="11"/>
    </row>
    <row r="198" spans="1:24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10"/>
      <c r="P198" s="10"/>
      <c r="Q198" s="9"/>
      <c r="R198" s="11"/>
      <c r="S198" s="8"/>
      <c r="T198" s="9"/>
      <c r="U198" s="9"/>
      <c r="V198" s="11"/>
      <c r="W198" s="9"/>
      <c r="X198" s="11"/>
    </row>
    <row r="199" spans="1:24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10"/>
      <c r="P199" s="10"/>
      <c r="Q199" s="9"/>
      <c r="R199" s="11"/>
      <c r="S199" s="8"/>
      <c r="T199" s="9"/>
      <c r="U199" s="9"/>
      <c r="V199" s="11"/>
      <c r="W199" s="9"/>
      <c r="X199" s="11"/>
    </row>
    <row r="200" spans="1:24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10"/>
      <c r="P200" s="10"/>
      <c r="Q200" s="9"/>
      <c r="R200" s="11"/>
      <c r="S200" s="8"/>
      <c r="T200" s="9"/>
      <c r="U200" s="9"/>
      <c r="V200" s="11"/>
      <c r="W200" s="9"/>
      <c r="X200" s="11"/>
    </row>
    <row r="201" spans="1:24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10"/>
      <c r="P201" s="10"/>
      <c r="Q201" s="9"/>
      <c r="R201" s="11"/>
      <c r="S201" s="8"/>
      <c r="T201" s="9"/>
      <c r="U201" s="9"/>
      <c r="V201" s="11"/>
      <c r="W201" s="9"/>
      <c r="X201" s="11"/>
    </row>
    <row r="202" spans="1:24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10"/>
      <c r="P202" s="10"/>
      <c r="Q202" s="9"/>
      <c r="R202" s="11"/>
      <c r="S202" s="8"/>
      <c r="T202" s="9"/>
      <c r="U202" s="9"/>
      <c r="V202" s="11"/>
      <c r="W202" s="9"/>
      <c r="X202" s="11"/>
    </row>
    <row r="203" spans="1:24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10"/>
      <c r="P203" s="10"/>
      <c r="Q203" s="9"/>
      <c r="R203" s="11"/>
      <c r="S203" s="8"/>
      <c r="T203" s="9"/>
      <c r="U203" s="9"/>
      <c r="V203" s="11"/>
      <c r="W203" s="9"/>
      <c r="X203" s="11"/>
    </row>
    <row r="204" spans="1:24">
      <c r="A204" s="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10"/>
      <c r="P204" s="10"/>
      <c r="Q204" s="9"/>
      <c r="R204" s="11"/>
      <c r="S204" s="8"/>
      <c r="T204" s="9"/>
      <c r="U204" s="9"/>
      <c r="V204" s="11"/>
      <c r="W204" s="9"/>
      <c r="X204" s="11"/>
    </row>
    <row r="205" spans="1:24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10"/>
      <c r="P205" s="10"/>
      <c r="Q205" s="9"/>
      <c r="R205" s="11"/>
      <c r="S205" s="8"/>
      <c r="T205" s="9"/>
      <c r="U205" s="9"/>
      <c r="V205" s="11"/>
      <c r="W205" s="9"/>
      <c r="X205" s="11"/>
    </row>
    <row r="206" spans="1:24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10"/>
      <c r="P206" s="10"/>
      <c r="Q206" s="9"/>
      <c r="R206" s="11"/>
      <c r="S206" s="8"/>
      <c r="T206" s="9"/>
      <c r="U206" s="9"/>
      <c r="V206" s="11"/>
      <c r="W206" s="9"/>
      <c r="X206" s="11"/>
    </row>
    <row r="207" spans="1:24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10"/>
      <c r="P207" s="10"/>
      <c r="Q207" s="9"/>
      <c r="R207" s="11"/>
      <c r="S207" s="8"/>
      <c r="T207" s="9"/>
      <c r="U207" s="9"/>
      <c r="V207" s="11"/>
      <c r="W207" s="9"/>
      <c r="X207" s="11"/>
    </row>
    <row r="208" spans="1:24">
      <c r="A208" s="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10"/>
      <c r="P208" s="10"/>
      <c r="Q208" s="9"/>
      <c r="R208" s="11"/>
      <c r="S208" s="8"/>
      <c r="T208" s="9"/>
      <c r="U208" s="9"/>
      <c r="V208" s="11"/>
      <c r="W208" s="9"/>
      <c r="X208" s="11"/>
    </row>
    <row r="209" spans="1:24">
      <c r="A209" s="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10"/>
      <c r="P209" s="10"/>
      <c r="Q209" s="9"/>
      <c r="R209" s="11"/>
      <c r="S209" s="8"/>
      <c r="T209" s="9"/>
      <c r="U209" s="9"/>
      <c r="V209" s="11"/>
      <c r="W209" s="9"/>
      <c r="X209" s="11"/>
    </row>
    <row r="210" spans="1:24">
      <c r="A210" s="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10"/>
      <c r="P210" s="10"/>
      <c r="Q210" s="9"/>
      <c r="R210" s="11"/>
      <c r="S210" s="8"/>
      <c r="T210" s="9"/>
      <c r="U210" s="9"/>
      <c r="V210" s="11"/>
      <c r="W210" s="9"/>
      <c r="X210" s="11"/>
    </row>
    <row r="211" spans="1:24">
      <c r="A211" s="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10"/>
      <c r="P211" s="10"/>
      <c r="Q211" s="9"/>
      <c r="R211" s="11"/>
      <c r="S211" s="8"/>
      <c r="T211" s="9"/>
      <c r="U211" s="9"/>
      <c r="V211" s="11"/>
      <c r="W211" s="9"/>
      <c r="X211" s="11"/>
    </row>
    <row r="212" spans="1:24">
      <c r="A212" s="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10"/>
      <c r="P212" s="10"/>
      <c r="Q212" s="9"/>
      <c r="R212" s="11"/>
      <c r="S212" s="8"/>
      <c r="T212" s="9"/>
      <c r="U212" s="9"/>
      <c r="V212" s="11"/>
      <c r="W212" s="9"/>
      <c r="X212" s="11"/>
    </row>
    <row r="213" spans="1:24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10"/>
      <c r="P213" s="10"/>
      <c r="Q213" s="9"/>
      <c r="R213" s="11"/>
      <c r="S213" s="8"/>
      <c r="T213" s="9"/>
      <c r="U213" s="9"/>
      <c r="V213" s="11"/>
      <c r="W213" s="9"/>
      <c r="X213" s="11"/>
    </row>
    <row r="214" spans="1:24">
      <c r="A214" s="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10"/>
      <c r="P214" s="10"/>
      <c r="Q214" s="9"/>
      <c r="R214" s="11"/>
      <c r="S214" s="8"/>
      <c r="T214" s="9"/>
      <c r="U214" s="9"/>
      <c r="V214" s="11"/>
      <c r="W214" s="9"/>
      <c r="X214" s="11"/>
    </row>
    <row r="215" spans="1:24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10"/>
      <c r="P215" s="10"/>
      <c r="Q215" s="9"/>
      <c r="R215" s="11"/>
      <c r="S215" s="8"/>
      <c r="T215" s="9"/>
      <c r="U215" s="9"/>
      <c r="V215" s="11"/>
      <c r="W215" s="9"/>
      <c r="X215" s="11"/>
    </row>
    <row r="216" spans="1:24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10"/>
      <c r="P216" s="10"/>
      <c r="Q216" s="9"/>
      <c r="R216" s="11"/>
      <c r="S216" s="8"/>
      <c r="T216" s="9"/>
      <c r="U216" s="9"/>
      <c r="V216" s="11"/>
      <c r="W216" s="9"/>
      <c r="X216" s="11"/>
    </row>
    <row r="217" spans="1:24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10"/>
      <c r="P217" s="10"/>
      <c r="Q217" s="9"/>
      <c r="R217" s="11"/>
      <c r="S217" s="8"/>
      <c r="T217" s="9"/>
      <c r="U217" s="9"/>
      <c r="V217" s="11"/>
      <c r="W217" s="9"/>
      <c r="X217" s="11"/>
    </row>
    <row r="218" spans="1:24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10"/>
      <c r="P218" s="10"/>
      <c r="Q218" s="9"/>
      <c r="R218" s="11"/>
      <c r="S218" s="8"/>
      <c r="T218" s="9"/>
      <c r="U218" s="9"/>
      <c r="V218" s="11"/>
      <c r="W218" s="9"/>
      <c r="X218" s="11"/>
    </row>
    <row r="219" spans="1:24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10"/>
      <c r="P219" s="10"/>
      <c r="Q219" s="9"/>
      <c r="R219" s="11"/>
      <c r="S219" s="8"/>
      <c r="T219" s="9"/>
      <c r="U219" s="9"/>
      <c r="V219" s="11"/>
      <c r="W219" s="9"/>
      <c r="X219" s="11"/>
    </row>
    <row r="220" spans="1:24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10"/>
      <c r="P220" s="10"/>
      <c r="Q220" s="9"/>
      <c r="R220" s="11"/>
      <c r="S220" s="8"/>
      <c r="T220" s="9"/>
      <c r="U220" s="9"/>
      <c r="V220" s="11"/>
      <c r="W220" s="9"/>
      <c r="X220" s="11"/>
    </row>
    <row r="221" spans="1:24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10"/>
      <c r="P221" s="10"/>
      <c r="Q221" s="9"/>
      <c r="R221" s="11"/>
      <c r="S221" s="8"/>
      <c r="T221" s="9"/>
      <c r="U221" s="9"/>
      <c r="V221" s="11"/>
      <c r="W221" s="9"/>
      <c r="X221" s="11"/>
    </row>
    <row r="222" spans="1:24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10"/>
      <c r="P222" s="10"/>
      <c r="Q222" s="9"/>
      <c r="R222" s="11"/>
      <c r="S222" s="8"/>
      <c r="T222" s="9"/>
      <c r="U222" s="9"/>
      <c r="V222" s="11"/>
      <c r="W222" s="9"/>
      <c r="X222" s="11"/>
    </row>
    <row r="223" spans="1:24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10"/>
      <c r="P223" s="10"/>
      <c r="Q223" s="9"/>
      <c r="R223" s="11"/>
      <c r="S223" s="8"/>
      <c r="T223" s="9"/>
      <c r="U223" s="9"/>
      <c r="V223" s="11"/>
      <c r="W223" s="9"/>
      <c r="X223" s="11"/>
    </row>
    <row r="224" spans="1:24">
      <c r="A224" s="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10"/>
      <c r="P224" s="10"/>
      <c r="Q224" s="9"/>
      <c r="R224" s="11"/>
      <c r="S224" s="8"/>
      <c r="T224" s="9"/>
      <c r="U224" s="9"/>
      <c r="V224" s="11"/>
      <c r="W224" s="9"/>
      <c r="X224" s="11"/>
    </row>
    <row r="225" spans="1:24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10"/>
      <c r="P225" s="10"/>
      <c r="Q225" s="9"/>
      <c r="R225" s="11"/>
      <c r="S225" s="8"/>
      <c r="T225" s="9"/>
      <c r="U225" s="9"/>
      <c r="V225" s="11"/>
      <c r="W225" s="9"/>
      <c r="X225" s="11"/>
    </row>
    <row r="226" spans="1:24">
      <c r="A226" s="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10"/>
      <c r="P226" s="10"/>
      <c r="Q226" s="9"/>
      <c r="R226" s="11"/>
      <c r="S226" s="8"/>
      <c r="T226" s="9"/>
      <c r="U226" s="9"/>
      <c r="V226" s="11"/>
      <c r="W226" s="9"/>
      <c r="X226" s="11"/>
    </row>
    <row r="227" spans="1:24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10"/>
      <c r="P227" s="10"/>
      <c r="Q227" s="9"/>
      <c r="R227" s="11"/>
      <c r="S227" s="8"/>
      <c r="T227" s="9"/>
      <c r="U227" s="9"/>
      <c r="V227" s="11"/>
      <c r="W227" s="9"/>
      <c r="X227" s="11"/>
    </row>
    <row r="228" spans="1:24">
      <c r="A228" s="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10"/>
      <c r="P228" s="10"/>
      <c r="Q228" s="9"/>
      <c r="R228" s="11"/>
      <c r="S228" s="8"/>
      <c r="T228" s="9"/>
      <c r="U228" s="9"/>
      <c r="V228" s="11"/>
      <c r="W228" s="9"/>
      <c r="X228" s="11"/>
    </row>
    <row r="229" spans="1:24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10"/>
      <c r="P229" s="10"/>
      <c r="Q229" s="9"/>
      <c r="R229" s="11"/>
      <c r="S229" s="8"/>
      <c r="T229" s="9"/>
      <c r="U229" s="9"/>
      <c r="V229" s="11"/>
      <c r="W229" s="9"/>
      <c r="X229" s="11"/>
    </row>
    <row r="230" spans="1:24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10"/>
      <c r="P230" s="10"/>
      <c r="Q230" s="9"/>
      <c r="R230" s="11"/>
      <c r="S230" s="8"/>
      <c r="T230" s="9"/>
      <c r="U230" s="9"/>
      <c r="V230" s="11"/>
      <c r="W230" s="9"/>
      <c r="X230" s="11"/>
    </row>
    <row r="231" spans="1:24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10"/>
      <c r="P231" s="10"/>
      <c r="Q231" s="9"/>
      <c r="R231" s="11"/>
      <c r="S231" s="8"/>
      <c r="T231" s="9"/>
      <c r="U231" s="9"/>
      <c r="V231" s="11"/>
      <c r="W231" s="9"/>
      <c r="X231" s="11"/>
    </row>
    <row r="232" spans="1:24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10"/>
      <c r="P232" s="10"/>
      <c r="Q232" s="9"/>
      <c r="R232" s="11"/>
      <c r="S232" s="8"/>
      <c r="T232" s="9"/>
      <c r="U232" s="9"/>
      <c r="V232" s="11"/>
      <c r="W232" s="9"/>
      <c r="X232" s="11"/>
    </row>
    <row r="233" spans="1:24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10"/>
      <c r="P233" s="10"/>
      <c r="Q233" s="9"/>
      <c r="R233" s="11"/>
      <c r="S233" s="8"/>
      <c r="T233" s="9"/>
      <c r="U233" s="9"/>
      <c r="V233" s="11"/>
      <c r="W233" s="9"/>
      <c r="X233" s="11"/>
    </row>
    <row r="234" spans="1:24">
      <c r="A234" s="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10"/>
      <c r="P234" s="10"/>
      <c r="Q234" s="9"/>
      <c r="R234" s="11"/>
      <c r="S234" s="8"/>
      <c r="T234" s="9"/>
      <c r="U234" s="9"/>
      <c r="V234" s="11"/>
      <c r="W234" s="9"/>
      <c r="X234" s="11"/>
    </row>
    <row r="235" spans="1:24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10"/>
      <c r="P235" s="10"/>
      <c r="Q235" s="9"/>
      <c r="R235" s="11"/>
      <c r="S235" s="8"/>
      <c r="T235" s="9"/>
      <c r="U235" s="9"/>
      <c r="V235" s="11"/>
      <c r="W235" s="9"/>
      <c r="X235" s="11"/>
    </row>
    <row r="236" spans="1:24">
      <c r="A236" s="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10"/>
      <c r="P236" s="10"/>
      <c r="Q236" s="9"/>
      <c r="R236" s="11"/>
      <c r="S236" s="8"/>
      <c r="T236" s="9"/>
      <c r="U236" s="9"/>
      <c r="V236" s="11"/>
      <c r="W236" s="9"/>
      <c r="X236" s="11"/>
    </row>
    <row r="237" spans="1:24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10"/>
      <c r="P237" s="10"/>
      <c r="Q237" s="9"/>
      <c r="R237" s="11"/>
      <c r="S237" s="8"/>
      <c r="T237" s="9"/>
      <c r="U237" s="9"/>
      <c r="V237" s="11"/>
      <c r="W237" s="9"/>
      <c r="X237" s="11"/>
    </row>
    <row r="238" spans="1:24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10"/>
      <c r="P238" s="10"/>
      <c r="Q238" s="9"/>
      <c r="R238" s="11"/>
      <c r="S238" s="8"/>
      <c r="T238" s="9"/>
      <c r="U238" s="9"/>
      <c r="V238" s="11"/>
      <c r="W238" s="9"/>
      <c r="X238" s="11"/>
    </row>
    <row r="239" spans="1:24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10"/>
      <c r="P239" s="10"/>
      <c r="Q239" s="9"/>
      <c r="R239" s="11"/>
      <c r="S239" s="8"/>
      <c r="T239" s="9"/>
      <c r="U239" s="9"/>
      <c r="V239" s="11"/>
      <c r="W239" s="9"/>
      <c r="X239" s="11"/>
    </row>
    <row r="240" spans="1:24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10"/>
      <c r="P240" s="10"/>
      <c r="Q240" s="9"/>
      <c r="R240" s="11"/>
      <c r="S240" s="8"/>
      <c r="T240" s="9"/>
      <c r="U240" s="9"/>
      <c r="V240" s="11"/>
      <c r="W240" s="9"/>
      <c r="X240" s="11"/>
    </row>
    <row r="241" spans="1:24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10"/>
      <c r="P241" s="10"/>
      <c r="Q241" s="9"/>
      <c r="R241" s="11"/>
      <c r="S241" s="8"/>
      <c r="T241" s="9"/>
      <c r="U241" s="9"/>
      <c r="V241" s="11"/>
      <c r="W241" s="9"/>
      <c r="X241" s="11"/>
    </row>
    <row r="242" spans="1:24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10"/>
      <c r="P242" s="10"/>
      <c r="Q242" s="9"/>
      <c r="R242" s="11"/>
      <c r="S242" s="8"/>
      <c r="T242" s="9"/>
      <c r="U242" s="9"/>
      <c r="V242" s="11"/>
      <c r="W242" s="9"/>
      <c r="X242" s="11"/>
    </row>
    <row r="243" spans="1:24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10"/>
      <c r="P243" s="10"/>
      <c r="Q243" s="9"/>
      <c r="R243" s="11"/>
      <c r="S243" s="8"/>
      <c r="T243" s="9"/>
      <c r="U243" s="9"/>
      <c r="V243" s="11"/>
      <c r="W243" s="9"/>
      <c r="X243" s="11"/>
    </row>
    <row r="244" spans="1:24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10"/>
      <c r="P244" s="10"/>
      <c r="Q244" s="9"/>
      <c r="R244" s="11"/>
      <c r="S244" s="8"/>
      <c r="T244" s="9"/>
      <c r="U244" s="9"/>
      <c r="V244" s="11"/>
      <c r="W244" s="9"/>
      <c r="X244" s="11"/>
    </row>
    <row r="245" spans="1:24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10"/>
      <c r="P245" s="10"/>
      <c r="Q245" s="9"/>
      <c r="R245" s="11"/>
      <c r="S245" s="8"/>
      <c r="T245" s="9"/>
      <c r="U245" s="9"/>
      <c r="V245" s="11"/>
      <c r="W245" s="9"/>
      <c r="X245" s="11"/>
    </row>
    <row r="246" spans="1:24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10"/>
      <c r="P246" s="10"/>
      <c r="Q246" s="9"/>
      <c r="R246" s="11"/>
      <c r="S246" s="8"/>
      <c r="T246" s="9"/>
      <c r="U246" s="9"/>
      <c r="V246" s="11"/>
      <c r="W246" s="9"/>
      <c r="X246" s="11"/>
    </row>
    <row r="247" spans="1:24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10"/>
      <c r="P247" s="10"/>
      <c r="Q247" s="9"/>
      <c r="R247" s="11"/>
      <c r="S247" s="8"/>
      <c r="T247" s="9"/>
      <c r="U247" s="9"/>
      <c r="V247" s="11"/>
      <c r="W247" s="9"/>
      <c r="X247" s="11"/>
    </row>
    <row r="248" spans="1:24">
      <c r="A248" s="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10"/>
      <c r="P248" s="10"/>
      <c r="Q248" s="9"/>
      <c r="R248" s="11"/>
      <c r="S248" s="8"/>
      <c r="T248" s="9"/>
      <c r="U248" s="9"/>
      <c r="V248" s="11"/>
      <c r="W248" s="9"/>
      <c r="X248" s="11"/>
    </row>
    <row r="249" spans="1:24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0"/>
      <c r="P249" s="10"/>
      <c r="Q249" s="9"/>
      <c r="R249" s="11"/>
      <c r="S249" s="8"/>
      <c r="T249" s="9"/>
      <c r="U249" s="9"/>
      <c r="V249" s="11"/>
      <c r="W249" s="9"/>
      <c r="X249" s="11"/>
    </row>
    <row r="250" spans="1:24">
      <c r="A250" s="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0"/>
      <c r="P250" s="10"/>
      <c r="Q250" s="9"/>
      <c r="R250" s="11"/>
      <c r="S250" s="8"/>
      <c r="T250" s="9"/>
      <c r="U250" s="9"/>
      <c r="V250" s="11"/>
      <c r="W250" s="9"/>
      <c r="X250" s="11"/>
    </row>
    <row r="251" spans="1:24">
      <c r="A251" s="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0"/>
      <c r="P251" s="10"/>
      <c r="Q251" s="9"/>
      <c r="R251" s="11"/>
      <c r="S251" s="8"/>
      <c r="T251" s="9"/>
      <c r="U251" s="9"/>
      <c r="V251" s="11"/>
      <c r="W251" s="9"/>
      <c r="X251" s="11"/>
    </row>
    <row r="252" spans="1:24">
      <c r="A252" s="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0"/>
      <c r="P252" s="10"/>
      <c r="Q252" s="9"/>
      <c r="R252" s="11"/>
      <c r="S252" s="8"/>
      <c r="T252" s="9"/>
      <c r="U252" s="9"/>
      <c r="V252" s="11"/>
      <c r="W252" s="9"/>
      <c r="X252" s="11"/>
    </row>
    <row r="253" spans="1:24">
      <c r="A253" s="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0"/>
      <c r="P253" s="10"/>
      <c r="Q253" s="9"/>
      <c r="R253" s="11"/>
      <c r="S253" s="8"/>
      <c r="T253" s="9"/>
      <c r="U253" s="9"/>
      <c r="V253" s="11"/>
      <c r="W253" s="9"/>
      <c r="X253" s="11"/>
    </row>
    <row r="254" spans="1:24">
      <c r="A254" s="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0"/>
      <c r="P254" s="10"/>
      <c r="Q254" s="9"/>
      <c r="R254" s="11"/>
      <c r="S254" s="8"/>
      <c r="T254" s="9"/>
      <c r="U254" s="9"/>
      <c r="V254" s="11"/>
      <c r="W254" s="9"/>
      <c r="X254" s="11"/>
    </row>
    <row r="255" spans="1:24">
      <c r="A255" s="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0"/>
      <c r="P255" s="10"/>
      <c r="Q255" s="9"/>
      <c r="R255" s="11"/>
      <c r="S255" s="8"/>
      <c r="T255" s="9"/>
      <c r="U255" s="9"/>
      <c r="V255" s="11"/>
      <c r="W255" s="9"/>
      <c r="X255" s="11"/>
    </row>
    <row r="256" spans="1:24">
      <c r="A256" s="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0"/>
      <c r="P256" s="10"/>
      <c r="Q256" s="9"/>
      <c r="R256" s="11"/>
      <c r="S256" s="8"/>
      <c r="T256" s="9"/>
      <c r="U256" s="9"/>
      <c r="V256" s="11"/>
      <c r="W256" s="9"/>
      <c r="X256" s="11"/>
    </row>
    <row r="257" spans="1:24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0"/>
      <c r="P257" s="10"/>
      <c r="Q257" s="9"/>
      <c r="R257" s="11"/>
      <c r="S257" s="8"/>
      <c r="T257" s="9"/>
      <c r="U257" s="9"/>
      <c r="V257" s="11"/>
      <c r="W257" s="9"/>
      <c r="X257" s="11"/>
    </row>
    <row r="258" spans="1:24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0"/>
      <c r="P258" s="10"/>
      <c r="Q258" s="9"/>
      <c r="R258" s="11"/>
      <c r="S258" s="8"/>
      <c r="T258" s="9"/>
      <c r="U258" s="9"/>
      <c r="V258" s="11"/>
      <c r="W258" s="9"/>
      <c r="X258" s="11"/>
    </row>
    <row r="259" spans="1:24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0"/>
      <c r="P259" s="10"/>
      <c r="Q259" s="9"/>
      <c r="R259" s="11"/>
      <c r="S259" s="8"/>
      <c r="T259" s="9"/>
      <c r="U259" s="9"/>
      <c r="V259" s="11"/>
      <c r="W259" s="9"/>
      <c r="X259" s="11"/>
    </row>
    <row r="260" spans="1:24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0"/>
      <c r="P260" s="10"/>
      <c r="Q260" s="9"/>
      <c r="R260" s="11"/>
      <c r="S260" s="8"/>
      <c r="T260" s="9"/>
      <c r="U260" s="9"/>
      <c r="V260" s="11"/>
      <c r="W260" s="9"/>
      <c r="X260" s="11"/>
    </row>
    <row r="261" spans="1:24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10"/>
      <c r="P261" s="10"/>
      <c r="Q261" s="9"/>
      <c r="R261" s="11"/>
      <c r="S261" s="8"/>
      <c r="T261" s="9"/>
      <c r="U261" s="9"/>
      <c r="V261" s="11"/>
      <c r="W261" s="9"/>
      <c r="X261" s="11"/>
    </row>
    <row r="262" spans="1:24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10"/>
      <c r="P262" s="10"/>
      <c r="Q262" s="9"/>
      <c r="R262" s="11"/>
      <c r="S262" s="8"/>
      <c r="T262" s="9"/>
      <c r="U262" s="9"/>
      <c r="V262" s="11"/>
      <c r="W262" s="9"/>
      <c r="X262" s="11"/>
    </row>
    <row r="263" spans="1:24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10"/>
      <c r="P263" s="10"/>
      <c r="Q263" s="9"/>
      <c r="R263" s="11"/>
      <c r="S263" s="8"/>
      <c r="T263" s="9"/>
      <c r="U263" s="9"/>
      <c r="V263" s="11"/>
      <c r="W263" s="9"/>
      <c r="X263" s="11"/>
    </row>
    <row r="264" spans="1:24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10"/>
      <c r="P264" s="10"/>
      <c r="Q264" s="9"/>
      <c r="R264" s="11"/>
      <c r="S264" s="8"/>
      <c r="T264" s="9"/>
      <c r="U264" s="9"/>
      <c r="V264" s="11"/>
      <c r="W264" s="9"/>
      <c r="X264" s="11"/>
    </row>
    <row r="265" spans="1:24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10"/>
      <c r="P265" s="10"/>
      <c r="Q265" s="9"/>
      <c r="R265" s="11"/>
      <c r="S265" s="8"/>
      <c r="T265" s="9"/>
      <c r="U265" s="9"/>
      <c r="V265" s="11"/>
      <c r="W265" s="9"/>
      <c r="X265" s="11"/>
    </row>
    <row r="266" spans="1:24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10"/>
      <c r="P266" s="10"/>
      <c r="Q266" s="9"/>
      <c r="R266" s="11"/>
      <c r="S266" s="8"/>
      <c r="T266" s="9"/>
      <c r="U266" s="9"/>
      <c r="V266" s="11"/>
      <c r="W266" s="9"/>
      <c r="X266" s="11"/>
    </row>
    <row r="267" spans="1:24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10"/>
      <c r="P267" s="10"/>
      <c r="Q267" s="9"/>
      <c r="R267" s="11"/>
      <c r="S267" s="8"/>
      <c r="T267" s="9"/>
      <c r="U267" s="9"/>
      <c r="V267" s="11"/>
      <c r="W267" s="9"/>
      <c r="X267" s="11"/>
    </row>
    <row r="268" spans="1:24">
      <c r="A268" s="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10"/>
      <c r="P268" s="10"/>
      <c r="Q268" s="9"/>
      <c r="R268" s="11"/>
      <c r="S268" s="8"/>
      <c r="T268" s="9"/>
      <c r="U268" s="9"/>
      <c r="V268" s="11"/>
      <c r="W268" s="9"/>
      <c r="X268" s="11"/>
    </row>
    <row r="269" spans="1:24">
      <c r="A269" s="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10"/>
      <c r="P269" s="10"/>
      <c r="Q269" s="9"/>
      <c r="R269" s="11"/>
      <c r="S269" s="8"/>
      <c r="T269" s="9"/>
      <c r="U269" s="9"/>
      <c r="V269" s="11"/>
      <c r="W269" s="9"/>
      <c r="X269" s="11"/>
    </row>
    <row r="270" spans="1:24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10"/>
      <c r="P270" s="10"/>
      <c r="Q270" s="9"/>
      <c r="R270" s="11"/>
      <c r="S270" s="8"/>
      <c r="T270" s="9"/>
      <c r="U270" s="9"/>
      <c r="V270" s="11"/>
      <c r="W270" s="9"/>
      <c r="X270" s="11"/>
    </row>
    <row r="271" spans="1:24">
      <c r="A271" s="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10"/>
      <c r="P271" s="10"/>
      <c r="Q271" s="9"/>
      <c r="R271" s="11"/>
      <c r="S271" s="8"/>
      <c r="T271" s="9"/>
      <c r="U271" s="9"/>
      <c r="V271" s="11"/>
      <c r="W271" s="9"/>
      <c r="X271" s="11"/>
    </row>
    <row r="272" spans="1:24">
      <c r="A272" s="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10"/>
      <c r="P272" s="10"/>
      <c r="Q272" s="9"/>
      <c r="R272" s="11"/>
      <c r="S272" s="8"/>
      <c r="T272" s="9"/>
      <c r="U272" s="9"/>
      <c r="V272" s="11"/>
      <c r="W272" s="9"/>
      <c r="X272" s="11"/>
    </row>
    <row r="273" spans="1:24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10"/>
      <c r="P273" s="10"/>
      <c r="Q273" s="9"/>
      <c r="R273" s="11"/>
      <c r="S273" s="8"/>
      <c r="T273" s="9"/>
      <c r="U273" s="9"/>
      <c r="V273" s="11"/>
      <c r="W273" s="9"/>
      <c r="X273" s="11"/>
    </row>
    <row r="274" spans="1:24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10"/>
      <c r="P274" s="10"/>
      <c r="Q274" s="9"/>
      <c r="R274" s="11"/>
      <c r="S274" s="8"/>
      <c r="T274" s="9"/>
      <c r="U274" s="9"/>
      <c r="V274" s="11"/>
      <c r="W274" s="9"/>
      <c r="X274" s="11"/>
    </row>
    <row r="275" spans="1:24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10"/>
      <c r="P275" s="10"/>
      <c r="Q275" s="9"/>
      <c r="R275" s="11"/>
      <c r="S275" s="8"/>
      <c r="T275" s="9"/>
      <c r="U275" s="9"/>
      <c r="V275" s="11"/>
      <c r="W275" s="9"/>
      <c r="X275" s="11"/>
    </row>
    <row r="276" spans="1:24">
      <c r="A276" s="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10"/>
      <c r="P276" s="10"/>
      <c r="Q276" s="9"/>
      <c r="R276" s="11"/>
      <c r="S276" s="8"/>
      <c r="T276" s="9"/>
      <c r="U276" s="9"/>
      <c r="V276" s="11"/>
      <c r="W276" s="9"/>
      <c r="X276" s="11"/>
    </row>
    <row r="277" spans="1:24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10"/>
      <c r="P277" s="10"/>
      <c r="Q277" s="9"/>
      <c r="R277" s="11"/>
      <c r="S277" s="8"/>
      <c r="T277" s="9"/>
      <c r="U277" s="9"/>
      <c r="V277" s="11"/>
      <c r="W277" s="9"/>
      <c r="X277" s="11"/>
    </row>
    <row r="278" spans="1:24">
      <c r="A278" s="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10"/>
      <c r="P278" s="10"/>
      <c r="Q278" s="9"/>
      <c r="R278" s="11"/>
      <c r="S278" s="8"/>
      <c r="T278" s="9"/>
      <c r="U278" s="9"/>
      <c r="V278" s="11"/>
      <c r="W278" s="9"/>
      <c r="X278" s="11"/>
    </row>
    <row r="279" spans="1:24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10"/>
      <c r="P279" s="10"/>
      <c r="Q279" s="9"/>
      <c r="R279" s="11"/>
      <c r="S279" s="8"/>
      <c r="T279" s="9"/>
      <c r="U279" s="9"/>
      <c r="V279" s="11"/>
      <c r="W279" s="9"/>
      <c r="X279" s="11"/>
    </row>
    <row r="280" spans="1:24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10"/>
      <c r="P280" s="10"/>
      <c r="Q280" s="9"/>
      <c r="R280" s="11"/>
      <c r="S280" s="8"/>
      <c r="T280" s="9"/>
      <c r="U280" s="9"/>
      <c r="V280" s="11"/>
      <c r="W280" s="9"/>
      <c r="X280" s="11"/>
    </row>
    <row r="281" spans="1:24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10"/>
      <c r="P281" s="10"/>
      <c r="Q281" s="9"/>
      <c r="R281" s="11"/>
      <c r="S281" s="8"/>
      <c r="T281" s="9"/>
      <c r="U281" s="9"/>
      <c r="V281" s="11"/>
      <c r="W281" s="9"/>
      <c r="X281" s="11"/>
    </row>
    <row r="282" spans="1:24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10"/>
      <c r="P282" s="10"/>
      <c r="Q282" s="9"/>
      <c r="R282" s="11"/>
      <c r="S282" s="8"/>
      <c r="T282" s="9"/>
      <c r="U282" s="9"/>
      <c r="V282" s="11"/>
      <c r="W282" s="9"/>
      <c r="X282" s="11"/>
    </row>
    <row r="283" spans="1:24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10"/>
      <c r="P283" s="10"/>
      <c r="Q283" s="9"/>
      <c r="R283" s="11"/>
      <c r="S283" s="8"/>
      <c r="T283" s="9"/>
      <c r="U283" s="9"/>
      <c r="V283" s="11"/>
      <c r="W283" s="9"/>
      <c r="X283" s="11"/>
    </row>
    <row r="284" spans="1:24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10"/>
      <c r="P284" s="10"/>
      <c r="Q284" s="9"/>
      <c r="R284" s="11"/>
      <c r="S284" s="8"/>
      <c r="T284" s="9"/>
      <c r="U284" s="9"/>
      <c r="V284" s="11"/>
      <c r="W284" s="9"/>
      <c r="X284" s="11"/>
    </row>
    <row r="285" spans="1:24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10"/>
      <c r="P285" s="10"/>
      <c r="Q285" s="9"/>
      <c r="R285" s="11"/>
      <c r="S285" s="8"/>
      <c r="T285" s="9"/>
      <c r="U285" s="9"/>
      <c r="V285" s="11"/>
      <c r="W285" s="9"/>
      <c r="X285" s="11"/>
    </row>
    <row r="286" spans="1:24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10"/>
      <c r="P286" s="10"/>
      <c r="Q286" s="9"/>
      <c r="R286" s="11"/>
      <c r="S286" s="8"/>
      <c r="T286" s="9"/>
      <c r="U286" s="9"/>
      <c r="V286" s="11"/>
      <c r="W286" s="9"/>
      <c r="X286" s="11"/>
    </row>
    <row r="287" spans="1:24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10"/>
      <c r="P287" s="10"/>
      <c r="Q287" s="9"/>
      <c r="R287" s="11"/>
      <c r="S287" s="8"/>
      <c r="T287" s="9"/>
      <c r="U287" s="9"/>
      <c r="V287" s="11"/>
      <c r="W287" s="9"/>
      <c r="X287" s="11"/>
    </row>
    <row r="288" spans="1:24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10"/>
      <c r="P288" s="10"/>
      <c r="Q288" s="9"/>
      <c r="R288" s="11"/>
      <c r="S288" s="8"/>
      <c r="T288" s="9"/>
      <c r="U288" s="9"/>
      <c r="V288" s="11"/>
      <c r="W288" s="9"/>
      <c r="X288" s="11"/>
    </row>
    <row r="289" spans="1:24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10"/>
      <c r="P289" s="10"/>
      <c r="Q289" s="9"/>
      <c r="R289" s="11"/>
      <c r="S289" s="8"/>
      <c r="T289" s="9"/>
      <c r="U289" s="9"/>
      <c r="V289" s="11"/>
      <c r="W289" s="9"/>
      <c r="X289" s="11"/>
    </row>
    <row r="290" spans="1:24">
      <c r="A290" s="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10"/>
      <c r="P290" s="10"/>
      <c r="Q290" s="9"/>
      <c r="R290" s="11"/>
      <c r="S290" s="8"/>
      <c r="T290" s="9"/>
      <c r="U290" s="9"/>
      <c r="V290" s="11"/>
      <c r="W290" s="9"/>
      <c r="X290" s="11"/>
    </row>
    <row r="291" spans="1:24">
      <c r="A291" s="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10"/>
      <c r="P291" s="10"/>
      <c r="Q291" s="9"/>
      <c r="R291" s="11"/>
      <c r="S291" s="8"/>
      <c r="T291" s="9"/>
      <c r="U291" s="9"/>
      <c r="V291" s="11"/>
      <c r="W291" s="9"/>
      <c r="X291" s="11"/>
    </row>
    <row r="292" spans="1:24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10"/>
      <c r="P292" s="10"/>
      <c r="Q292" s="9"/>
      <c r="R292" s="11"/>
      <c r="S292" s="8"/>
      <c r="T292" s="9"/>
      <c r="U292" s="9"/>
      <c r="V292" s="11"/>
      <c r="W292" s="9"/>
      <c r="X292" s="11"/>
    </row>
    <row r="293" spans="1:24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10"/>
      <c r="P293" s="10"/>
      <c r="Q293" s="9"/>
      <c r="R293" s="11"/>
      <c r="S293" s="8"/>
      <c r="T293" s="9"/>
      <c r="U293" s="9"/>
      <c r="V293" s="11"/>
      <c r="W293" s="9"/>
      <c r="X293" s="11"/>
    </row>
    <row r="294" spans="1:24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10"/>
      <c r="P294" s="10"/>
      <c r="Q294" s="9"/>
      <c r="R294" s="11"/>
      <c r="S294" s="8"/>
      <c r="T294" s="9"/>
      <c r="U294" s="9"/>
      <c r="V294" s="11"/>
      <c r="W294" s="9"/>
      <c r="X294" s="11"/>
    </row>
    <row r="295" spans="1:24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10"/>
      <c r="P295" s="10"/>
      <c r="Q295" s="9"/>
      <c r="R295" s="11"/>
      <c r="S295" s="8"/>
      <c r="T295" s="9"/>
      <c r="U295" s="9"/>
      <c r="V295" s="11"/>
      <c r="W295" s="9"/>
      <c r="X295" s="11"/>
    </row>
    <row r="296" spans="1:24">
      <c r="A296" s="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10"/>
      <c r="P296" s="10"/>
      <c r="Q296" s="9"/>
      <c r="R296" s="11"/>
      <c r="S296" s="8"/>
      <c r="T296" s="9"/>
      <c r="U296" s="9"/>
      <c r="V296" s="11"/>
      <c r="W296" s="9"/>
      <c r="X296" s="11"/>
    </row>
    <row r="297" spans="1:24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10"/>
      <c r="P297" s="10"/>
      <c r="Q297" s="9"/>
      <c r="R297" s="11"/>
      <c r="S297" s="8"/>
      <c r="T297" s="9"/>
      <c r="U297" s="9"/>
      <c r="V297" s="11"/>
      <c r="W297" s="9"/>
      <c r="X297" s="11"/>
    </row>
    <row r="298" spans="1:24">
      <c r="A298" s="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10"/>
      <c r="P298" s="10"/>
      <c r="Q298" s="9"/>
      <c r="R298" s="11"/>
      <c r="S298" s="8"/>
      <c r="T298" s="9"/>
      <c r="U298" s="9"/>
      <c r="V298" s="11"/>
      <c r="W298" s="9"/>
      <c r="X298" s="11"/>
    </row>
    <row r="299" spans="1:24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10"/>
      <c r="P299" s="10"/>
      <c r="Q299" s="9"/>
      <c r="R299" s="11"/>
      <c r="S299" s="8"/>
      <c r="T299" s="9"/>
      <c r="U299" s="9"/>
      <c r="V299" s="11"/>
      <c r="W299" s="9"/>
      <c r="X299" s="11"/>
    </row>
    <row r="300" spans="1:24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10"/>
      <c r="P300" s="10"/>
      <c r="Q300" s="9"/>
      <c r="R300" s="11"/>
      <c r="S300" s="8"/>
      <c r="T300" s="9"/>
      <c r="U300" s="9"/>
      <c r="V300" s="11"/>
      <c r="W300" s="9"/>
      <c r="X300" s="11"/>
    </row>
    <row r="301" spans="1:24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10"/>
      <c r="P301" s="10"/>
      <c r="Q301" s="9"/>
      <c r="R301" s="11"/>
      <c r="S301" s="8"/>
      <c r="T301" s="9"/>
      <c r="U301" s="9"/>
      <c r="V301" s="11"/>
      <c r="W301" s="9"/>
      <c r="X301" s="11"/>
    </row>
    <row r="302" spans="1:24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10"/>
      <c r="P302" s="10"/>
      <c r="Q302" s="9"/>
      <c r="R302" s="11"/>
      <c r="S302" s="8"/>
      <c r="T302" s="9"/>
      <c r="U302" s="9"/>
      <c r="V302" s="11"/>
      <c r="W302" s="9"/>
      <c r="X302" s="11"/>
    </row>
    <row r="303" spans="1:24">
      <c r="A303" s="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10"/>
      <c r="P303" s="10"/>
      <c r="Q303" s="9"/>
      <c r="R303" s="11"/>
      <c r="S303" s="8"/>
      <c r="T303" s="9"/>
      <c r="U303" s="9"/>
      <c r="V303" s="11"/>
      <c r="W303" s="9"/>
      <c r="X303" s="11"/>
    </row>
    <row r="304" spans="1:24">
      <c r="A304" s="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10"/>
      <c r="P304" s="10"/>
      <c r="Q304" s="9"/>
      <c r="R304" s="11"/>
      <c r="S304" s="8"/>
      <c r="T304" s="9"/>
      <c r="U304" s="9"/>
      <c r="V304" s="11"/>
      <c r="W304" s="9"/>
      <c r="X304" s="11"/>
    </row>
    <row r="305" spans="1:24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10"/>
      <c r="P305" s="10"/>
      <c r="Q305" s="9"/>
      <c r="R305" s="11"/>
      <c r="S305" s="8"/>
      <c r="T305" s="9"/>
      <c r="U305" s="9"/>
      <c r="V305" s="11"/>
      <c r="W305" s="9"/>
      <c r="X305" s="11"/>
    </row>
    <row r="306" spans="1:24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10"/>
      <c r="P306" s="10"/>
      <c r="Q306" s="9"/>
      <c r="R306" s="11"/>
      <c r="S306" s="8"/>
      <c r="T306" s="9"/>
      <c r="U306" s="9"/>
      <c r="V306" s="11"/>
      <c r="W306" s="9"/>
      <c r="X306" s="11"/>
    </row>
    <row r="307" spans="1:24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10"/>
      <c r="P307" s="10"/>
      <c r="Q307" s="9"/>
      <c r="R307" s="11"/>
      <c r="S307" s="8"/>
      <c r="T307" s="9"/>
      <c r="U307" s="9"/>
      <c r="V307" s="11"/>
      <c r="W307" s="9"/>
      <c r="X307" s="11"/>
    </row>
    <row r="308" spans="1:24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10"/>
      <c r="P308" s="10"/>
      <c r="Q308" s="9"/>
      <c r="R308" s="11"/>
      <c r="S308" s="8"/>
      <c r="T308" s="9"/>
      <c r="U308" s="9"/>
      <c r="V308" s="11"/>
      <c r="W308" s="9"/>
      <c r="X308" s="11"/>
    </row>
    <row r="309" spans="1:24">
      <c r="A309" s="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10"/>
      <c r="P309" s="10"/>
      <c r="Q309" s="9"/>
      <c r="R309" s="11"/>
      <c r="S309" s="8"/>
      <c r="T309" s="9"/>
      <c r="U309" s="9"/>
      <c r="V309" s="11"/>
      <c r="W309" s="9"/>
      <c r="X309" s="11"/>
    </row>
    <row r="310" spans="1:24">
      <c r="A310" s="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10"/>
      <c r="P310" s="10"/>
      <c r="Q310" s="9"/>
      <c r="R310" s="11"/>
      <c r="S310" s="8"/>
      <c r="T310" s="9"/>
      <c r="U310" s="9"/>
      <c r="V310" s="11"/>
      <c r="W310" s="9"/>
      <c r="X310" s="11"/>
    </row>
    <row r="311" spans="1:24">
      <c r="A311" s="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10"/>
      <c r="P311" s="10"/>
      <c r="Q311" s="9"/>
      <c r="R311" s="11"/>
      <c r="S311" s="8"/>
      <c r="T311" s="9"/>
      <c r="U311" s="9"/>
      <c r="V311" s="11"/>
      <c r="W311" s="9"/>
      <c r="X311" s="11"/>
    </row>
    <row r="312" spans="1:24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10"/>
      <c r="P312" s="10"/>
      <c r="Q312" s="9"/>
      <c r="R312" s="11"/>
      <c r="S312" s="8"/>
      <c r="T312" s="9"/>
      <c r="U312" s="9"/>
      <c r="V312" s="11"/>
      <c r="W312" s="9"/>
      <c r="X312" s="11"/>
    </row>
    <row r="313" spans="1:24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10"/>
      <c r="P313" s="10"/>
      <c r="Q313" s="9"/>
      <c r="R313" s="11"/>
      <c r="S313" s="8"/>
      <c r="T313" s="9"/>
      <c r="U313" s="9"/>
      <c r="V313" s="11"/>
      <c r="W313" s="9"/>
      <c r="X313" s="11"/>
    </row>
    <row r="314" spans="1:24">
      <c r="A314" s="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10"/>
      <c r="P314" s="10"/>
      <c r="Q314" s="9"/>
      <c r="R314" s="11"/>
      <c r="S314" s="8"/>
      <c r="T314" s="9"/>
      <c r="U314" s="9"/>
      <c r="V314" s="11"/>
      <c r="W314" s="9"/>
      <c r="X314" s="11"/>
    </row>
    <row r="315" spans="1:24">
      <c r="A315" s="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10"/>
      <c r="P315" s="10"/>
      <c r="Q315" s="9"/>
      <c r="R315" s="11"/>
      <c r="S315" s="8"/>
      <c r="T315" s="9"/>
      <c r="U315" s="9"/>
      <c r="V315" s="11"/>
      <c r="W315" s="9"/>
      <c r="X315" s="11"/>
    </row>
    <row r="316" spans="1:24">
      <c r="A316" s="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10"/>
      <c r="P316" s="10"/>
      <c r="Q316" s="9"/>
      <c r="R316" s="11"/>
      <c r="S316" s="8"/>
      <c r="T316" s="9"/>
      <c r="U316" s="9"/>
      <c r="V316" s="11"/>
      <c r="W316" s="9"/>
      <c r="X316" s="11"/>
    </row>
    <row r="317" spans="1:24">
      <c r="A317" s="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10"/>
      <c r="P317" s="10"/>
      <c r="Q317" s="9"/>
      <c r="R317" s="11"/>
      <c r="S317" s="8"/>
      <c r="T317" s="9"/>
      <c r="U317" s="9"/>
      <c r="V317" s="11"/>
      <c r="W317" s="9"/>
      <c r="X317" s="11"/>
    </row>
    <row r="318" spans="1:24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10"/>
      <c r="P318" s="10"/>
      <c r="Q318" s="9"/>
      <c r="R318" s="11"/>
      <c r="S318" s="8"/>
      <c r="T318" s="9"/>
      <c r="U318" s="9"/>
      <c r="V318" s="11"/>
      <c r="W318" s="9"/>
      <c r="X318" s="11"/>
    </row>
    <row r="319" spans="1:24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10"/>
      <c r="P319" s="10"/>
      <c r="Q319" s="9"/>
      <c r="R319" s="11"/>
      <c r="S319" s="8"/>
      <c r="T319" s="9"/>
      <c r="U319" s="9"/>
      <c r="V319" s="11"/>
      <c r="W319" s="9"/>
      <c r="X319" s="11"/>
    </row>
    <row r="320" spans="1:24">
      <c r="A320" s="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10"/>
      <c r="P320" s="10"/>
      <c r="Q320" s="9"/>
      <c r="R320" s="11"/>
      <c r="S320" s="8"/>
      <c r="T320" s="9"/>
      <c r="U320" s="9"/>
      <c r="V320" s="11"/>
      <c r="W320" s="9"/>
      <c r="X320" s="11"/>
    </row>
    <row r="321" spans="1:24">
      <c r="A321" s="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10"/>
      <c r="P321" s="10"/>
      <c r="Q321" s="9"/>
      <c r="R321" s="11"/>
      <c r="S321" s="8"/>
      <c r="T321" s="9"/>
      <c r="U321" s="9"/>
      <c r="V321" s="11"/>
      <c r="W321" s="9"/>
      <c r="X321" s="11"/>
    </row>
    <row r="322" spans="1:24">
      <c r="A322" s="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10"/>
      <c r="P322" s="10"/>
      <c r="Q322" s="9"/>
      <c r="R322" s="11"/>
      <c r="S322" s="8"/>
      <c r="T322" s="9"/>
      <c r="U322" s="9"/>
      <c r="V322" s="11"/>
      <c r="W322" s="9"/>
      <c r="X322" s="11"/>
    </row>
    <row r="323" spans="1:24">
      <c r="A323" s="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10"/>
      <c r="P323" s="10"/>
      <c r="Q323" s="9"/>
      <c r="R323" s="11"/>
      <c r="S323" s="8"/>
      <c r="T323" s="9"/>
      <c r="U323" s="9"/>
      <c r="V323" s="11"/>
      <c r="W323" s="9"/>
      <c r="X323" s="11"/>
    </row>
    <row r="324" spans="1:24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10"/>
      <c r="P324" s="10"/>
      <c r="Q324" s="9"/>
      <c r="R324" s="11"/>
      <c r="S324" s="8"/>
      <c r="T324" s="9"/>
      <c r="U324" s="9"/>
      <c r="V324" s="11"/>
      <c r="W324" s="9"/>
      <c r="X324" s="11"/>
    </row>
    <row r="325" spans="1:24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10"/>
      <c r="P325" s="10"/>
      <c r="Q325" s="9"/>
      <c r="R325" s="11"/>
      <c r="S325" s="8"/>
      <c r="T325" s="9"/>
      <c r="U325" s="9"/>
      <c r="V325" s="11"/>
      <c r="W325" s="9"/>
      <c r="X325" s="11"/>
    </row>
    <row r="326" spans="1:24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10"/>
      <c r="P326" s="10"/>
      <c r="Q326" s="9"/>
      <c r="R326" s="11"/>
      <c r="S326" s="8"/>
      <c r="T326" s="9"/>
      <c r="U326" s="9"/>
      <c r="V326" s="11"/>
      <c r="W326" s="9"/>
      <c r="X326" s="11"/>
    </row>
    <row r="327" spans="1:24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10"/>
      <c r="P327" s="10"/>
      <c r="Q327" s="9"/>
      <c r="R327" s="11"/>
      <c r="S327" s="8"/>
      <c r="T327" s="9"/>
      <c r="U327" s="9"/>
      <c r="V327" s="11"/>
      <c r="W327" s="9"/>
      <c r="X327" s="11"/>
    </row>
    <row r="328" spans="1:24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10"/>
      <c r="P328" s="10"/>
      <c r="Q328" s="9"/>
      <c r="R328" s="11"/>
      <c r="S328" s="8"/>
      <c r="T328" s="9"/>
      <c r="U328" s="9"/>
      <c r="V328" s="11"/>
      <c r="W328" s="9"/>
      <c r="X328" s="11"/>
    </row>
    <row r="329" spans="1:24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10"/>
      <c r="P329" s="10"/>
      <c r="Q329" s="9"/>
      <c r="R329" s="11"/>
      <c r="S329" s="8"/>
      <c r="T329" s="9"/>
      <c r="U329" s="9"/>
      <c r="V329" s="11"/>
      <c r="W329" s="9"/>
      <c r="X329" s="11"/>
    </row>
    <row r="330" spans="1:24">
      <c r="A330" s="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10"/>
      <c r="P330" s="10"/>
      <c r="Q330" s="9"/>
      <c r="R330" s="11"/>
      <c r="S330" s="8"/>
      <c r="T330" s="9"/>
      <c r="U330" s="9"/>
      <c r="V330" s="11"/>
      <c r="W330" s="9"/>
      <c r="X330" s="11"/>
    </row>
    <row r="331" spans="1:24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10"/>
      <c r="P331" s="10"/>
      <c r="Q331" s="9"/>
      <c r="R331" s="11"/>
      <c r="S331" s="8"/>
      <c r="T331" s="9"/>
      <c r="U331" s="9"/>
      <c r="V331" s="11"/>
      <c r="W331" s="9"/>
      <c r="X331" s="11"/>
    </row>
    <row r="332" spans="1:24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10"/>
      <c r="P332" s="10"/>
      <c r="Q332" s="9"/>
      <c r="R332" s="11"/>
      <c r="S332" s="8"/>
      <c r="T332" s="9"/>
      <c r="U332" s="9"/>
      <c r="V332" s="11"/>
      <c r="W332" s="9"/>
      <c r="X332" s="11"/>
    </row>
    <row r="333" spans="1:24">
      <c r="A333" s="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10"/>
      <c r="P333" s="10"/>
      <c r="Q333" s="9"/>
      <c r="R333" s="11"/>
      <c r="S333" s="8"/>
      <c r="T333" s="9"/>
      <c r="U333" s="9"/>
      <c r="V333" s="11"/>
      <c r="W333" s="9"/>
      <c r="X333" s="11"/>
    </row>
    <row r="334" spans="1:24">
      <c r="A334" s="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10"/>
      <c r="P334" s="10"/>
      <c r="Q334" s="9"/>
      <c r="R334" s="11"/>
      <c r="S334" s="8"/>
      <c r="T334" s="9"/>
      <c r="U334" s="9"/>
      <c r="V334" s="11"/>
      <c r="W334" s="9"/>
      <c r="X334" s="11"/>
    </row>
    <row r="335" spans="1:24">
      <c r="A335" s="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10"/>
      <c r="P335" s="10"/>
      <c r="Q335" s="9"/>
      <c r="R335" s="11"/>
      <c r="S335" s="8"/>
      <c r="T335" s="9"/>
      <c r="U335" s="9"/>
      <c r="V335" s="11"/>
      <c r="W335" s="9"/>
      <c r="X335" s="11"/>
    </row>
    <row r="336" spans="1:24">
      <c r="A336" s="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10"/>
      <c r="P336" s="10"/>
      <c r="Q336" s="9"/>
      <c r="R336" s="11"/>
      <c r="S336" s="8"/>
      <c r="T336" s="9"/>
      <c r="U336" s="9"/>
      <c r="V336" s="11"/>
      <c r="W336" s="9"/>
      <c r="X336" s="11"/>
    </row>
    <row r="337" spans="1:24">
      <c r="A337" s="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10"/>
      <c r="P337" s="10"/>
      <c r="Q337" s="9"/>
      <c r="R337" s="11"/>
      <c r="S337" s="8"/>
      <c r="T337" s="9"/>
      <c r="U337" s="9"/>
      <c r="V337" s="11"/>
      <c r="W337" s="9"/>
      <c r="X337" s="11"/>
    </row>
    <row r="338" spans="1:24">
      <c r="A338" s="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10"/>
      <c r="P338" s="10"/>
      <c r="Q338" s="9"/>
      <c r="R338" s="11"/>
      <c r="S338" s="8"/>
      <c r="T338" s="9"/>
      <c r="U338" s="9"/>
      <c r="V338" s="11"/>
      <c r="W338" s="9"/>
      <c r="X338" s="11"/>
    </row>
    <row r="339" spans="1:24">
      <c r="A339" s="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10"/>
      <c r="P339" s="10"/>
      <c r="Q339" s="9"/>
      <c r="R339" s="11"/>
      <c r="S339" s="8"/>
      <c r="T339" s="9"/>
      <c r="U339" s="9"/>
      <c r="V339" s="11"/>
      <c r="W339" s="9"/>
      <c r="X339" s="11"/>
    </row>
    <row r="340" spans="1:24">
      <c r="A340" s="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10"/>
      <c r="P340" s="10"/>
      <c r="Q340" s="9"/>
      <c r="R340" s="11"/>
      <c r="S340" s="8"/>
      <c r="T340" s="9"/>
      <c r="U340" s="9"/>
      <c r="V340" s="11"/>
      <c r="W340" s="9"/>
      <c r="X340" s="11"/>
    </row>
    <row r="341" spans="1:24">
      <c r="A341" s="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10"/>
      <c r="P341" s="10"/>
      <c r="Q341" s="9"/>
      <c r="R341" s="11"/>
      <c r="S341" s="8"/>
      <c r="T341" s="9"/>
      <c r="U341" s="9"/>
      <c r="V341" s="11"/>
      <c r="W341" s="9"/>
      <c r="X341" s="11"/>
    </row>
    <row r="342" spans="1:24">
      <c r="A342" s="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10"/>
      <c r="P342" s="10"/>
      <c r="Q342" s="9"/>
      <c r="R342" s="11"/>
      <c r="S342" s="8"/>
      <c r="T342" s="9"/>
      <c r="U342" s="9"/>
      <c r="V342" s="11"/>
      <c r="W342" s="9"/>
      <c r="X342" s="11"/>
    </row>
    <row r="343" spans="1:24">
      <c r="A343" s="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10"/>
      <c r="P343" s="10"/>
      <c r="Q343" s="9"/>
      <c r="R343" s="11"/>
      <c r="S343" s="8"/>
      <c r="T343" s="9"/>
      <c r="U343" s="9"/>
      <c r="V343" s="11"/>
      <c r="W343" s="9"/>
      <c r="X343" s="11"/>
    </row>
    <row r="344" spans="1:24">
      <c r="A344" s="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10"/>
      <c r="P344" s="10"/>
      <c r="Q344" s="9"/>
      <c r="R344" s="11"/>
      <c r="S344" s="8"/>
      <c r="T344" s="9"/>
      <c r="U344" s="9"/>
      <c r="V344" s="11"/>
      <c r="W344" s="9"/>
      <c r="X344" s="11"/>
    </row>
    <row r="345" spans="1:24">
      <c r="A345" s="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10"/>
      <c r="P345" s="10"/>
      <c r="Q345" s="9"/>
      <c r="R345" s="11"/>
      <c r="S345" s="8"/>
      <c r="T345" s="9"/>
      <c r="U345" s="9"/>
      <c r="V345" s="11"/>
      <c r="W345" s="9"/>
      <c r="X345" s="11"/>
    </row>
    <row r="346" spans="1:24">
      <c r="A346" s="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10"/>
      <c r="P346" s="10"/>
      <c r="Q346" s="9"/>
      <c r="R346" s="11"/>
      <c r="S346" s="8"/>
      <c r="T346" s="9"/>
      <c r="U346" s="9"/>
      <c r="V346" s="11"/>
      <c r="W346" s="9"/>
      <c r="X346" s="11"/>
    </row>
    <row r="347" spans="1:24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10"/>
      <c r="P347" s="10"/>
      <c r="Q347" s="9"/>
      <c r="R347" s="11"/>
      <c r="S347" s="8"/>
      <c r="T347" s="9"/>
      <c r="U347" s="9"/>
      <c r="V347" s="11"/>
      <c r="W347" s="9"/>
      <c r="X347" s="11"/>
    </row>
    <row r="348" spans="1:24">
      <c r="A348" s="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10"/>
      <c r="P348" s="10"/>
      <c r="Q348" s="9"/>
      <c r="R348" s="11"/>
      <c r="S348" s="8"/>
      <c r="T348" s="9"/>
      <c r="U348" s="9"/>
      <c r="V348" s="11"/>
      <c r="W348" s="9"/>
      <c r="X348" s="11"/>
    </row>
    <row r="349" spans="1:24">
      <c r="A349" s="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10"/>
      <c r="P349" s="10"/>
      <c r="Q349" s="9"/>
      <c r="R349" s="11"/>
      <c r="S349" s="8"/>
      <c r="T349" s="9"/>
      <c r="U349" s="9"/>
      <c r="V349" s="11"/>
      <c r="W349" s="9"/>
      <c r="X349" s="11"/>
    </row>
    <row r="350" spans="1:24">
      <c r="A350" s="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10"/>
      <c r="P350" s="10"/>
      <c r="Q350" s="9"/>
      <c r="R350" s="11"/>
      <c r="S350" s="8"/>
      <c r="T350" s="9"/>
      <c r="U350" s="9"/>
      <c r="V350" s="11"/>
      <c r="W350" s="9"/>
      <c r="X350" s="11"/>
    </row>
    <row r="351" spans="1:24">
      <c r="A351" s="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10"/>
      <c r="P351" s="10"/>
      <c r="Q351" s="9"/>
      <c r="R351" s="11"/>
      <c r="S351" s="8"/>
      <c r="T351" s="9"/>
      <c r="U351" s="9"/>
      <c r="V351" s="11"/>
      <c r="W351" s="9"/>
      <c r="X351" s="11"/>
    </row>
    <row r="352" spans="1:24">
      <c r="A352" s="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10"/>
      <c r="P352" s="10"/>
      <c r="Q352" s="9"/>
      <c r="R352" s="11"/>
      <c r="S352" s="8"/>
      <c r="T352" s="9"/>
      <c r="U352" s="9"/>
      <c r="V352" s="11"/>
      <c r="W352" s="9"/>
      <c r="X352" s="11"/>
    </row>
    <row r="353" spans="1:24">
      <c r="A353" s="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10"/>
      <c r="P353" s="10"/>
      <c r="Q353" s="9"/>
      <c r="R353" s="11"/>
      <c r="S353" s="8"/>
      <c r="T353" s="9"/>
      <c r="U353" s="9"/>
      <c r="V353" s="11"/>
      <c r="W353" s="9"/>
      <c r="X353" s="11"/>
    </row>
    <row r="354" spans="1:24">
      <c r="A354" s="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10"/>
      <c r="P354" s="10"/>
      <c r="Q354" s="9"/>
      <c r="R354" s="11"/>
      <c r="S354" s="8"/>
      <c r="T354" s="9"/>
      <c r="U354" s="9"/>
      <c r="V354" s="11"/>
      <c r="W354" s="9"/>
      <c r="X354" s="11"/>
    </row>
    <row r="355" spans="1:24">
      <c r="A355" s="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10"/>
      <c r="P355" s="10"/>
      <c r="Q355" s="9"/>
      <c r="R355" s="11"/>
      <c r="S355" s="8"/>
      <c r="T355" s="9"/>
      <c r="U355" s="9"/>
      <c r="V355" s="11"/>
      <c r="W355" s="9"/>
      <c r="X355" s="11"/>
    </row>
    <row r="356" spans="1:24">
      <c r="A356" s="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10"/>
      <c r="P356" s="10"/>
      <c r="Q356" s="9"/>
      <c r="R356" s="11"/>
      <c r="S356" s="8"/>
      <c r="T356" s="9"/>
      <c r="U356" s="9"/>
      <c r="V356" s="11"/>
      <c r="W356" s="9"/>
      <c r="X356" s="11"/>
    </row>
    <row r="357" spans="1:24">
      <c r="A357" s="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10"/>
      <c r="P357" s="10"/>
      <c r="Q357" s="9"/>
      <c r="R357" s="11"/>
      <c r="S357" s="8"/>
      <c r="T357" s="9"/>
      <c r="U357" s="9"/>
      <c r="V357" s="11"/>
      <c r="W357" s="9"/>
      <c r="X357" s="11"/>
    </row>
    <row r="358" spans="1:24">
      <c r="A358" s="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10"/>
      <c r="P358" s="10"/>
      <c r="Q358" s="9"/>
      <c r="R358" s="11"/>
      <c r="S358" s="8"/>
      <c r="T358" s="9"/>
      <c r="U358" s="9"/>
      <c r="V358" s="11"/>
      <c r="W358" s="9"/>
      <c r="X358" s="11"/>
    </row>
    <row r="359" spans="1:24">
      <c r="A359" s="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10"/>
      <c r="P359" s="10"/>
      <c r="Q359" s="9"/>
      <c r="R359" s="11"/>
      <c r="S359" s="8"/>
      <c r="T359" s="9"/>
      <c r="U359" s="9"/>
      <c r="V359" s="11"/>
      <c r="W359" s="9"/>
      <c r="X359" s="11"/>
    </row>
    <row r="360" spans="1:24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10"/>
      <c r="P360" s="10"/>
      <c r="Q360" s="9"/>
      <c r="R360" s="11"/>
      <c r="S360" s="8"/>
      <c r="T360" s="9"/>
      <c r="U360" s="9"/>
      <c r="V360" s="11"/>
      <c r="W360" s="9"/>
      <c r="X360" s="11"/>
    </row>
    <row r="361" spans="1:24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10"/>
      <c r="P361" s="10"/>
      <c r="Q361" s="9"/>
      <c r="R361" s="11"/>
      <c r="S361" s="8"/>
      <c r="T361" s="9"/>
      <c r="U361" s="9"/>
      <c r="V361" s="11"/>
      <c r="W361" s="9"/>
      <c r="X361" s="11"/>
    </row>
    <row r="362" spans="1:24">
      <c r="A362" s="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10"/>
      <c r="P362" s="10"/>
      <c r="Q362" s="9"/>
      <c r="R362" s="11"/>
      <c r="S362" s="8"/>
      <c r="T362" s="9"/>
      <c r="U362" s="9"/>
      <c r="V362" s="11"/>
      <c r="W362" s="9"/>
      <c r="X362" s="11"/>
    </row>
    <row r="363" spans="1:24">
      <c r="A363" s="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10"/>
      <c r="P363" s="10"/>
      <c r="Q363" s="9"/>
      <c r="R363" s="11"/>
      <c r="S363" s="8"/>
      <c r="T363" s="9"/>
      <c r="U363" s="9"/>
      <c r="V363" s="11"/>
      <c r="W363" s="9"/>
      <c r="X363" s="11"/>
    </row>
    <row r="364" spans="1:24">
      <c r="A364" s="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10"/>
      <c r="P364" s="10"/>
      <c r="Q364" s="9"/>
      <c r="R364" s="11"/>
      <c r="S364" s="8"/>
      <c r="T364" s="9"/>
      <c r="U364" s="9"/>
      <c r="V364" s="11"/>
      <c r="W364" s="9"/>
      <c r="X364" s="11"/>
    </row>
    <row r="365" spans="1:24">
      <c r="A365" s="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10"/>
      <c r="P365" s="10"/>
      <c r="Q365" s="9"/>
      <c r="R365" s="11"/>
      <c r="S365" s="8"/>
      <c r="T365" s="9"/>
      <c r="U365" s="9"/>
      <c r="V365" s="11"/>
      <c r="W365" s="9"/>
      <c r="X365" s="11"/>
    </row>
    <row r="366" spans="1:24">
      <c r="A366" s="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10"/>
      <c r="P366" s="10"/>
      <c r="Q366" s="9"/>
      <c r="R366" s="11"/>
      <c r="S366" s="8"/>
      <c r="T366" s="9"/>
      <c r="U366" s="9"/>
      <c r="V366" s="11"/>
      <c r="W366" s="9"/>
      <c r="X366" s="11"/>
    </row>
    <row r="367" spans="1:24">
      <c r="A367" s="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10"/>
      <c r="P367" s="10"/>
      <c r="Q367" s="9"/>
      <c r="R367" s="11"/>
      <c r="S367" s="8"/>
      <c r="T367" s="9"/>
      <c r="U367" s="9"/>
      <c r="V367" s="11"/>
      <c r="W367" s="9"/>
      <c r="X367" s="11"/>
    </row>
    <row r="368" spans="1:24">
      <c r="A368" s="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10"/>
      <c r="P368" s="10"/>
      <c r="Q368" s="9"/>
      <c r="R368" s="11"/>
      <c r="S368" s="8"/>
      <c r="T368" s="9"/>
      <c r="U368" s="9"/>
      <c r="V368" s="11"/>
      <c r="W368" s="9"/>
      <c r="X368" s="11"/>
    </row>
    <row r="369" spans="1:24">
      <c r="A369" s="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10"/>
      <c r="P369" s="10"/>
      <c r="Q369" s="9"/>
      <c r="R369" s="11"/>
      <c r="S369" s="8"/>
      <c r="T369" s="9"/>
      <c r="U369" s="9"/>
      <c r="V369" s="11"/>
      <c r="W369" s="9"/>
      <c r="X369" s="11"/>
    </row>
    <row r="370" spans="1:24">
      <c r="A370" s="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10"/>
      <c r="P370" s="10"/>
      <c r="Q370" s="9"/>
      <c r="R370" s="11"/>
      <c r="S370" s="8"/>
      <c r="T370" s="9"/>
      <c r="U370" s="9"/>
      <c r="V370" s="11"/>
      <c r="W370" s="9"/>
      <c r="X370" s="11"/>
    </row>
    <row r="371" spans="1:24">
      <c r="A371" s="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10"/>
      <c r="P371" s="10"/>
      <c r="Q371" s="9"/>
      <c r="R371" s="11"/>
      <c r="S371" s="8"/>
      <c r="T371" s="9"/>
      <c r="U371" s="9"/>
      <c r="V371" s="11"/>
      <c r="W371" s="9"/>
      <c r="X371" s="11"/>
    </row>
    <row r="372" spans="1:24">
      <c r="A372" s="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10"/>
      <c r="P372" s="10"/>
      <c r="Q372" s="9"/>
      <c r="R372" s="11"/>
      <c r="S372" s="8"/>
      <c r="T372" s="9"/>
      <c r="U372" s="9"/>
      <c r="V372" s="11"/>
      <c r="W372" s="9"/>
      <c r="X372" s="11"/>
    </row>
    <row r="373" spans="1:24">
      <c r="A373" s="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10"/>
      <c r="P373" s="10"/>
      <c r="Q373" s="9"/>
      <c r="R373" s="11"/>
      <c r="S373" s="8"/>
      <c r="T373" s="9"/>
      <c r="U373" s="9"/>
      <c r="V373" s="11"/>
      <c r="W373" s="9"/>
      <c r="X373" s="11"/>
    </row>
    <row r="374" spans="1:24">
      <c r="A374" s="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10"/>
      <c r="P374" s="10"/>
      <c r="Q374" s="9"/>
      <c r="R374" s="11"/>
      <c r="S374" s="8"/>
      <c r="T374" s="9"/>
      <c r="U374" s="9"/>
      <c r="V374" s="11"/>
      <c r="W374" s="9"/>
      <c r="X374" s="11"/>
    </row>
    <row r="375" spans="1:24">
      <c r="A375" s="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10"/>
      <c r="P375" s="10"/>
      <c r="Q375" s="9"/>
      <c r="R375" s="11"/>
      <c r="S375" s="8"/>
      <c r="T375" s="9"/>
      <c r="U375" s="9"/>
      <c r="V375" s="11"/>
      <c r="W375" s="9"/>
      <c r="X375" s="11"/>
    </row>
    <row r="376" spans="1:24">
      <c r="A376" s="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10"/>
      <c r="P376" s="10"/>
      <c r="Q376" s="9"/>
      <c r="R376" s="11"/>
      <c r="S376" s="8"/>
      <c r="T376" s="9"/>
      <c r="U376" s="9"/>
      <c r="V376" s="11"/>
      <c r="W376" s="9"/>
      <c r="X376" s="11"/>
    </row>
    <row r="377" spans="1:24">
      <c r="A377" s="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10"/>
      <c r="P377" s="10"/>
      <c r="Q377" s="9"/>
      <c r="R377" s="11"/>
      <c r="S377" s="8"/>
      <c r="T377" s="9"/>
      <c r="U377" s="9"/>
      <c r="V377" s="11"/>
      <c r="W377" s="9"/>
      <c r="X377" s="11"/>
    </row>
    <row r="378" spans="1:24">
      <c r="A378" s="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10"/>
      <c r="P378" s="10"/>
      <c r="Q378" s="9"/>
      <c r="R378" s="11"/>
      <c r="S378" s="8"/>
      <c r="T378" s="9"/>
      <c r="U378" s="9"/>
      <c r="V378" s="11"/>
      <c r="W378" s="9"/>
      <c r="X378" s="11"/>
    </row>
    <row r="379" spans="1:24">
      <c r="A379" s="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10"/>
      <c r="P379" s="10"/>
      <c r="Q379" s="9"/>
      <c r="R379" s="11"/>
      <c r="S379" s="8"/>
      <c r="T379" s="9"/>
      <c r="U379" s="9"/>
      <c r="V379" s="11"/>
      <c r="W379" s="9"/>
      <c r="X379" s="11"/>
    </row>
    <row r="380" spans="1:24">
      <c r="A380" s="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10"/>
      <c r="P380" s="10"/>
      <c r="Q380" s="9"/>
      <c r="R380" s="11"/>
      <c r="S380" s="8"/>
      <c r="T380" s="9"/>
      <c r="U380" s="9"/>
      <c r="V380" s="11"/>
      <c r="W380" s="9"/>
      <c r="X380" s="11"/>
    </row>
    <row r="381" spans="1:24">
      <c r="A381" s="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10"/>
      <c r="P381" s="10"/>
      <c r="Q381" s="9"/>
      <c r="R381" s="11"/>
      <c r="S381" s="8"/>
      <c r="T381" s="9"/>
      <c r="U381" s="9"/>
      <c r="V381" s="11"/>
      <c r="W381" s="9"/>
      <c r="X381" s="11"/>
    </row>
    <row r="382" spans="1:24">
      <c r="A382" s="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10"/>
      <c r="P382" s="10"/>
      <c r="Q382" s="9"/>
      <c r="R382" s="11"/>
      <c r="S382" s="8"/>
      <c r="T382" s="9"/>
      <c r="U382" s="9"/>
      <c r="V382" s="11"/>
      <c r="W382" s="9"/>
      <c r="X382" s="11"/>
    </row>
    <row r="383" spans="1:24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10"/>
      <c r="P383" s="10"/>
      <c r="Q383" s="9"/>
      <c r="R383" s="11"/>
      <c r="S383" s="8"/>
      <c r="T383" s="9"/>
      <c r="U383" s="9"/>
      <c r="V383" s="11"/>
      <c r="W383" s="9"/>
      <c r="X383" s="11"/>
    </row>
    <row r="384" spans="1:24">
      <c r="A384" s="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10"/>
      <c r="P384" s="10"/>
      <c r="Q384" s="9"/>
      <c r="R384" s="11"/>
      <c r="S384" s="8"/>
      <c r="T384" s="9"/>
      <c r="U384" s="9"/>
      <c r="V384" s="11"/>
      <c r="W384" s="9"/>
      <c r="X384" s="11"/>
    </row>
    <row r="385" spans="1:24">
      <c r="A385" s="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10"/>
      <c r="P385" s="10"/>
      <c r="Q385" s="9"/>
      <c r="R385" s="11"/>
      <c r="S385" s="8"/>
      <c r="T385" s="9"/>
      <c r="U385" s="9"/>
      <c r="V385" s="11"/>
      <c r="W385" s="9"/>
      <c r="X385" s="11"/>
    </row>
    <row r="386" spans="1:24">
      <c r="A386" s="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10"/>
      <c r="P386" s="10"/>
      <c r="Q386" s="9"/>
      <c r="R386" s="11"/>
      <c r="S386" s="8"/>
      <c r="T386" s="9"/>
      <c r="U386" s="9"/>
      <c r="V386" s="11"/>
      <c r="W386" s="9"/>
      <c r="X386" s="11"/>
    </row>
    <row r="387" spans="1:24">
      <c r="A387" s="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10"/>
      <c r="P387" s="10"/>
      <c r="Q387" s="9"/>
      <c r="R387" s="11"/>
      <c r="S387" s="8"/>
      <c r="T387" s="9"/>
      <c r="U387" s="9"/>
      <c r="V387" s="11"/>
      <c r="W387" s="9"/>
      <c r="X387" s="11"/>
    </row>
    <row r="388" spans="1:24">
      <c r="A388" s="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10"/>
      <c r="P388" s="10"/>
      <c r="Q388" s="9"/>
      <c r="R388" s="11"/>
      <c r="S388" s="8"/>
      <c r="T388" s="9"/>
      <c r="U388" s="9"/>
      <c r="V388" s="11"/>
      <c r="W388" s="9"/>
      <c r="X388" s="11"/>
    </row>
    <row r="389" spans="1:24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10"/>
      <c r="P389" s="10"/>
      <c r="Q389" s="9"/>
      <c r="R389" s="11"/>
      <c r="S389" s="8"/>
      <c r="T389" s="9"/>
      <c r="U389" s="9"/>
      <c r="V389" s="11"/>
      <c r="W389" s="9"/>
      <c r="X389" s="11"/>
    </row>
    <row r="390" spans="1:24">
      <c r="A390" s="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10"/>
      <c r="P390" s="10"/>
      <c r="Q390" s="9"/>
      <c r="R390" s="11"/>
      <c r="S390" s="8"/>
      <c r="T390" s="9"/>
      <c r="U390" s="9"/>
      <c r="V390" s="11"/>
      <c r="W390" s="9"/>
      <c r="X390" s="11"/>
    </row>
    <row r="391" spans="1:24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10"/>
      <c r="P391" s="10"/>
      <c r="Q391" s="9"/>
      <c r="R391" s="11"/>
      <c r="S391" s="8"/>
      <c r="T391" s="9"/>
      <c r="U391" s="9"/>
      <c r="V391" s="11"/>
      <c r="W391" s="9"/>
      <c r="X391" s="11"/>
    </row>
    <row r="392" spans="1:24">
      <c r="A392" s="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10"/>
      <c r="P392" s="10"/>
      <c r="Q392" s="9"/>
      <c r="R392" s="11"/>
      <c r="S392" s="8"/>
      <c r="T392" s="9"/>
      <c r="U392" s="9"/>
      <c r="V392" s="11"/>
      <c r="W392" s="9"/>
      <c r="X392" s="11"/>
    </row>
    <row r="393" spans="1:24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10"/>
      <c r="P393" s="10"/>
      <c r="Q393" s="9"/>
      <c r="R393" s="11"/>
      <c r="S393" s="8"/>
      <c r="T393" s="9"/>
      <c r="U393" s="9"/>
      <c r="V393" s="11"/>
      <c r="W393" s="9"/>
      <c r="X393" s="11"/>
    </row>
    <row r="394" spans="1:24">
      <c r="A394" s="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10"/>
      <c r="P394" s="10"/>
      <c r="Q394" s="9"/>
      <c r="R394" s="11"/>
      <c r="S394" s="8"/>
      <c r="T394" s="9"/>
      <c r="U394" s="9"/>
      <c r="V394" s="11"/>
      <c r="W394" s="9"/>
      <c r="X394" s="11"/>
    </row>
    <row r="395" spans="1:24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10"/>
      <c r="P395" s="10"/>
      <c r="Q395" s="9"/>
      <c r="R395" s="11"/>
      <c r="S395" s="8"/>
      <c r="T395" s="9"/>
      <c r="U395" s="9"/>
      <c r="V395" s="11"/>
      <c r="W395" s="9"/>
      <c r="X395" s="11"/>
    </row>
    <row r="396" spans="1:24">
      <c r="A396" s="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10"/>
      <c r="P396" s="10"/>
      <c r="Q396" s="9"/>
      <c r="R396" s="11"/>
      <c r="S396" s="8"/>
      <c r="T396" s="9"/>
      <c r="U396" s="9"/>
      <c r="V396" s="11"/>
      <c r="W396" s="9"/>
      <c r="X396" s="11"/>
    </row>
    <row r="397" spans="1:24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10"/>
      <c r="P397" s="10"/>
      <c r="Q397" s="9"/>
      <c r="R397" s="11"/>
      <c r="S397" s="8"/>
      <c r="T397" s="9"/>
      <c r="U397" s="9"/>
      <c r="V397" s="11"/>
      <c r="W397" s="9"/>
      <c r="X397" s="11"/>
    </row>
    <row r="398" spans="1:24">
      <c r="A398" s="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10"/>
      <c r="P398" s="10"/>
      <c r="Q398" s="9"/>
      <c r="R398" s="11"/>
      <c r="S398" s="8"/>
      <c r="T398" s="9"/>
      <c r="U398" s="9"/>
      <c r="V398" s="11"/>
      <c r="W398" s="9"/>
      <c r="X398" s="11"/>
    </row>
    <row r="399" spans="1:24">
      <c r="A399" s="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10"/>
      <c r="P399" s="10"/>
      <c r="Q399" s="9"/>
      <c r="R399" s="11"/>
      <c r="S399" s="8"/>
      <c r="T399" s="9"/>
      <c r="U399" s="9"/>
      <c r="V399" s="11"/>
      <c r="W399" s="9"/>
      <c r="X399" s="11"/>
    </row>
    <row r="400" spans="1:24">
      <c r="A400" s="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10"/>
      <c r="P400" s="10"/>
      <c r="Q400" s="9"/>
      <c r="R400" s="11"/>
      <c r="S400" s="8"/>
      <c r="T400" s="9"/>
      <c r="U400" s="9"/>
      <c r="V400" s="11"/>
      <c r="W400" s="9"/>
      <c r="X400" s="11"/>
    </row>
    <row r="401" spans="1:24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10"/>
      <c r="P401" s="10"/>
      <c r="Q401" s="9"/>
      <c r="R401" s="11"/>
      <c r="S401" s="8"/>
      <c r="T401" s="9"/>
      <c r="U401" s="9"/>
      <c r="V401" s="11"/>
      <c r="W401" s="9"/>
      <c r="X401" s="11"/>
    </row>
    <row r="402" spans="1:24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10"/>
      <c r="P402" s="10"/>
      <c r="Q402" s="9"/>
      <c r="R402" s="11"/>
      <c r="S402" s="8"/>
      <c r="T402" s="9"/>
      <c r="U402" s="9"/>
      <c r="V402" s="11"/>
      <c r="W402" s="9"/>
      <c r="X402" s="11"/>
    </row>
    <row r="403" spans="1:24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10"/>
      <c r="P403" s="10"/>
      <c r="Q403" s="9"/>
      <c r="R403" s="11"/>
      <c r="S403" s="8"/>
      <c r="T403" s="9"/>
      <c r="U403" s="9"/>
      <c r="V403" s="11"/>
      <c r="W403" s="9"/>
      <c r="X403" s="11"/>
    </row>
    <row r="404" spans="1:24">
      <c r="A404" s="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10"/>
      <c r="P404" s="10"/>
      <c r="Q404" s="9"/>
      <c r="R404" s="11"/>
      <c r="S404" s="8"/>
      <c r="T404" s="9"/>
      <c r="U404" s="9"/>
      <c r="V404" s="11"/>
      <c r="W404" s="9"/>
      <c r="X404" s="11"/>
    </row>
    <row r="405" spans="1:24">
      <c r="A405" s="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10"/>
      <c r="P405" s="10"/>
      <c r="Q405" s="9"/>
      <c r="R405" s="11"/>
      <c r="S405" s="8"/>
      <c r="T405" s="9"/>
      <c r="U405" s="9"/>
      <c r="V405" s="11"/>
      <c r="W405" s="9"/>
      <c r="X405" s="11"/>
    </row>
    <row r="406" spans="1:24">
      <c r="A406" s="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10"/>
      <c r="P406" s="10"/>
      <c r="Q406" s="9"/>
      <c r="R406" s="11"/>
      <c r="S406" s="8"/>
      <c r="T406" s="9"/>
      <c r="U406" s="9"/>
      <c r="V406" s="11"/>
      <c r="W406" s="9"/>
      <c r="X406" s="11"/>
    </row>
    <row r="407" spans="1:24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10"/>
      <c r="P407" s="10"/>
      <c r="Q407" s="9"/>
      <c r="R407" s="11"/>
      <c r="S407" s="8"/>
      <c r="T407" s="9"/>
      <c r="U407" s="9"/>
      <c r="V407" s="11"/>
      <c r="W407" s="9"/>
      <c r="X407" s="11"/>
    </row>
    <row r="408" spans="1:24">
      <c r="A408" s="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10"/>
      <c r="P408" s="10"/>
      <c r="Q408" s="9"/>
      <c r="R408" s="11"/>
      <c r="S408" s="8"/>
      <c r="T408" s="9"/>
      <c r="U408" s="9"/>
      <c r="V408" s="11"/>
      <c r="W408" s="9"/>
      <c r="X408" s="11"/>
    </row>
    <row r="409" spans="1:24">
      <c r="A409" s="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10"/>
      <c r="P409" s="10"/>
      <c r="Q409" s="9"/>
      <c r="R409" s="11"/>
      <c r="S409" s="8"/>
      <c r="T409" s="9"/>
      <c r="U409" s="9"/>
      <c r="V409" s="11"/>
      <c r="W409" s="9"/>
      <c r="X409" s="11"/>
    </row>
    <row r="410" spans="1:24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10"/>
      <c r="P410" s="10"/>
      <c r="Q410" s="9"/>
      <c r="R410" s="11"/>
      <c r="S410" s="8"/>
      <c r="T410" s="9"/>
      <c r="U410" s="9"/>
      <c r="V410" s="11"/>
      <c r="W410" s="9"/>
      <c r="X410" s="11"/>
    </row>
    <row r="411" spans="1:24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10"/>
      <c r="P411" s="10"/>
      <c r="Q411" s="9"/>
      <c r="R411" s="11"/>
      <c r="S411" s="8"/>
      <c r="T411" s="9"/>
      <c r="U411" s="9"/>
      <c r="V411" s="11"/>
      <c r="W411" s="9"/>
      <c r="X411" s="11"/>
    </row>
    <row r="412" spans="1:24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10"/>
      <c r="P412" s="10"/>
      <c r="Q412" s="9"/>
      <c r="R412" s="11"/>
      <c r="S412" s="8"/>
      <c r="T412" s="9"/>
      <c r="U412" s="9"/>
      <c r="V412" s="11"/>
      <c r="W412" s="9"/>
      <c r="X412" s="11"/>
    </row>
    <row r="413" spans="1:24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10"/>
      <c r="P413" s="10"/>
      <c r="Q413" s="9"/>
      <c r="R413" s="11"/>
      <c r="S413" s="8"/>
      <c r="T413" s="9"/>
      <c r="U413" s="9"/>
      <c r="V413" s="11"/>
      <c r="W413" s="9"/>
      <c r="X413" s="11"/>
    </row>
    <row r="414" spans="1:24">
      <c r="A414" s="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10"/>
      <c r="P414" s="10"/>
      <c r="Q414" s="9"/>
      <c r="R414" s="11"/>
      <c r="S414" s="8"/>
      <c r="T414" s="9"/>
      <c r="U414" s="9"/>
      <c r="V414" s="11"/>
      <c r="W414" s="9"/>
      <c r="X414" s="11"/>
    </row>
    <row r="415" spans="1:24">
      <c r="A415" s="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10"/>
      <c r="P415" s="10"/>
      <c r="Q415" s="9"/>
      <c r="R415" s="11"/>
      <c r="S415" s="8"/>
      <c r="T415" s="9"/>
      <c r="U415" s="9"/>
      <c r="V415" s="11"/>
      <c r="W415" s="9"/>
      <c r="X415" s="11"/>
    </row>
    <row r="416" spans="1:24">
      <c r="A416" s="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10"/>
      <c r="P416" s="10"/>
      <c r="Q416" s="9"/>
      <c r="R416" s="11"/>
      <c r="S416" s="8"/>
      <c r="T416" s="9"/>
      <c r="U416" s="9"/>
      <c r="V416" s="11"/>
      <c r="W416" s="9"/>
      <c r="X416" s="11"/>
    </row>
    <row r="417" spans="1:24">
      <c r="A417" s="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10"/>
      <c r="P417" s="10"/>
      <c r="Q417" s="9"/>
      <c r="R417" s="11"/>
      <c r="S417" s="8"/>
      <c r="T417" s="9"/>
      <c r="U417" s="9"/>
      <c r="V417" s="11"/>
      <c r="W417" s="9"/>
      <c r="X417" s="11"/>
    </row>
    <row r="418" spans="1:24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10"/>
      <c r="P418" s="10"/>
      <c r="Q418" s="9"/>
      <c r="R418" s="11"/>
      <c r="S418" s="8"/>
      <c r="T418" s="9"/>
      <c r="U418" s="9"/>
      <c r="V418" s="11"/>
      <c r="W418" s="9"/>
      <c r="X418" s="11"/>
    </row>
    <row r="419" spans="1:24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10"/>
      <c r="P419" s="10"/>
      <c r="Q419" s="9"/>
      <c r="R419" s="11"/>
      <c r="S419" s="8"/>
      <c r="T419" s="9"/>
      <c r="U419" s="9"/>
      <c r="V419" s="11"/>
      <c r="W419" s="9"/>
      <c r="X419" s="11"/>
    </row>
    <row r="420" spans="1:24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10"/>
      <c r="P420" s="10"/>
      <c r="Q420" s="9"/>
      <c r="R420" s="11"/>
      <c r="S420" s="8"/>
      <c r="T420" s="9"/>
      <c r="U420" s="9"/>
      <c r="V420" s="11"/>
      <c r="W420" s="9"/>
      <c r="X420" s="11"/>
    </row>
    <row r="421" spans="1:24">
      <c r="A421" s="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10"/>
      <c r="P421" s="10"/>
      <c r="Q421" s="9"/>
      <c r="R421" s="11"/>
      <c r="S421" s="8"/>
      <c r="T421" s="9"/>
      <c r="U421" s="9"/>
      <c r="V421" s="11"/>
      <c r="W421" s="9"/>
      <c r="X421" s="11"/>
    </row>
    <row r="422" spans="1:24">
      <c r="A422" s="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10"/>
      <c r="P422" s="10"/>
      <c r="Q422" s="9"/>
      <c r="R422" s="11"/>
      <c r="S422" s="8"/>
      <c r="T422" s="9"/>
      <c r="U422" s="9"/>
      <c r="V422" s="11"/>
      <c r="W422" s="9"/>
      <c r="X422" s="11"/>
    </row>
    <row r="423" spans="1:24">
      <c r="A423" s="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10"/>
      <c r="P423" s="10"/>
      <c r="Q423" s="9"/>
      <c r="R423" s="11"/>
      <c r="S423" s="8"/>
      <c r="T423" s="9"/>
      <c r="U423" s="9"/>
      <c r="V423" s="11"/>
      <c r="W423" s="9"/>
      <c r="X423" s="11"/>
    </row>
    <row r="424" spans="1:24">
      <c r="A424" s="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10"/>
      <c r="P424" s="10"/>
      <c r="Q424" s="9"/>
      <c r="R424" s="11"/>
      <c r="S424" s="8"/>
      <c r="T424" s="9"/>
      <c r="U424" s="9"/>
      <c r="V424" s="11"/>
      <c r="W424" s="9"/>
      <c r="X424" s="11"/>
    </row>
    <row r="425" spans="1:24">
      <c r="A425" s="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10"/>
      <c r="P425" s="10"/>
      <c r="Q425" s="9"/>
      <c r="R425" s="11"/>
      <c r="S425" s="8"/>
      <c r="T425" s="9"/>
      <c r="U425" s="9"/>
      <c r="V425" s="11"/>
      <c r="W425" s="9"/>
      <c r="X425" s="11"/>
    </row>
    <row r="426" spans="1:24">
      <c r="A426" s="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10"/>
      <c r="P426" s="10"/>
      <c r="Q426" s="9"/>
      <c r="R426" s="11"/>
      <c r="S426" s="8"/>
      <c r="T426" s="9"/>
      <c r="U426" s="9"/>
      <c r="V426" s="11"/>
      <c r="W426" s="9"/>
      <c r="X426" s="11"/>
    </row>
    <row r="427" spans="1:24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10"/>
      <c r="P427" s="10"/>
      <c r="Q427" s="9"/>
      <c r="R427" s="11"/>
      <c r="S427" s="8"/>
      <c r="T427" s="9"/>
      <c r="U427" s="9"/>
      <c r="V427" s="11"/>
      <c r="W427" s="9"/>
      <c r="X427" s="11"/>
    </row>
    <row r="428" spans="1:24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0"/>
      <c r="P428" s="10"/>
      <c r="Q428" s="9"/>
      <c r="R428" s="11"/>
      <c r="S428" s="8"/>
      <c r="T428" s="9"/>
      <c r="U428" s="9"/>
      <c r="V428" s="11"/>
      <c r="W428" s="9"/>
      <c r="X428" s="11"/>
    </row>
    <row r="429" spans="1:24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10"/>
      <c r="P429" s="10"/>
      <c r="Q429" s="9"/>
      <c r="R429" s="11"/>
      <c r="S429" s="8"/>
      <c r="T429" s="9"/>
      <c r="U429" s="9"/>
      <c r="V429" s="11"/>
      <c r="W429" s="9"/>
      <c r="X429" s="11"/>
    </row>
    <row r="430" spans="1:24">
      <c r="A430" s="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10"/>
      <c r="P430" s="10"/>
      <c r="Q430" s="9"/>
      <c r="R430" s="11"/>
      <c r="S430" s="8"/>
      <c r="T430" s="9"/>
      <c r="U430" s="9"/>
      <c r="V430" s="11"/>
      <c r="W430" s="9"/>
      <c r="X430" s="11"/>
    </row>
    <row r="431" spans="1:24">
      <c r="A431" s="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10"/>
      <c r="P431" s="10"/>
      <c r="Q431" s="9"/>
      <c r="R431" s="11"/>
      <c r="S431" s="8"/>
      <c r="T431" s="9"/>
      <c r="U431" s="9"/>
      <c r="V431" s="11"/>
      <c r="W431" s="9"/>
      <c r="X431" s="11"/>
    </row>
    <row r="432" spans="1:24">
      <c r="A432" s="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10"/>
      <c r="P432" s="10"/>
      <c r="Q432" s="9"/>
      <c r="R432" s="11"/>
      <c r="S432" s="8"/>
      <c r="T432" s="9"/>
      <c r="U432" s="9"/>
      <c r="V432" s="11"/>
      <c r="W432" s="9"/>
      <c r="X432" s="11"/>
    </row>
    <row r="433" spans="1:24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10"/>
      <c r="P433" s="10"/>
      <c r="Q433" s="9"/>
      <c r="R433" s="11"/>
      <c r="S433" s="8"/>
      <c r="T433" s="9"/>
      <c r="U433" s="9"/>
      <c r="V433" s="11"/>
      <c r="W433" s="9"/>
      <c r="X433" s="11"/>
    </row>
    <row r="434" spans="1:24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10"/>
      <c r="P434" s="10"/>
      <c r="Q434" s="9"/>
      <c r="R434" s="11"/>
      <c r="S434" s="8"/>
      <c r="T434" s="9"/>
      <c r="U434" s="9"/>
      <c r="V434" s="11"/>
      <c r="W434" s="9"/>
      <c r="X434" s="11"/>
    </row>
    <row r="435" spans="1:24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10"/>
      <c r="P435" s="10"/>
      <c r="Q435" s="9"/>
      <c r="R435" s="11"/>
      <c r="S435" s="8"/>
      <c r="T435" s="9"/>
      <c r="U435" s="9"/>
      <c r="V435" s="11"/>
      <c r="W435" s="9"/>
      <c r="X435" s="11"/>
    </row>
    <row r="436" spans="1:24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10"/>
      <c r="P436" s="10"/>
      <c r="Q436" s="9"/>
      <c r="R436" s="11"/>
      <c r="S436" s="8"/>
      <c r="T436" s="9"/>
      <c r="U436" s="9"/>
      <c r="V436" s="11"/>
      <c r="W436" s="9"/>
      <c r="X436" s="11"/>
    </row>
    <row r="437" spans="1:24">
      <c r="A437" s="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10"/>
      <c r="P437" s="10"/>
      <c r="Q437" s="9"/>
      <c r="R437" s="11"/>
      <c r="S437" s="8"/>
      <c r="T437" s="9"/>
      <c r="U437" s="9"/>
      <c r="V437" s="11"/>
      <c r="W437" s="9"/>
      <c r="X437" s="11"/>
    </row>
    <row r="438" spans="1:24">
      <c r="A438" s="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10"/>
      <c r="P438" s="10"/>
      <c r="Q438" s="9"/>
      <c r="R438" s="11"/>
      <c r="S438" s="8"/>
      <c r="T438" s="9"/>
      <c r="U438" s="9"/>
      <c r="V438" s="11"/>
      <c r="W438" s="9"/>
      <c r="X438" s="11"/>
    </row>
    <row r="439" spans="1:24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0"/>
      <c r="P439" s="10"/>
      <c r="Q439" s="9"/>
      <c r="R439" s="11"/>
      <c r="S439" s="8"/>
      <c r="T439" s="9"/>
      <c r="U439" s="9"/>
      <c r="V439" s="11"/>
      <c r="W439" s="9"/>
      <c r="X439" s="11"/>
    </row>
    <row r="440" spans="1:24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10"/>
      <c r="P440" s="10"/>
      <c r="Q440" s="9"/>
      <c r="R440" s="11"/>
      <c r="S440" s="8"/>
      <c r="T440" s="9"/>
      <c r="U440" s="9"/>
      <c r="V440" s="11"/>
      <c r="W440" s="9"/>
      <c r="X440" s="11"/>
    </row>
    <row r="441" spans="1:24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10"/>
      <c r="P441" s="10"/>
      <c r="Q441" s="9"/>
      <c r="R441" s="11"/>
      <c r="S441" s="8"/>
      <c r="T441" s="9"/>
      <c r="U441" s="9"/>
      <c r="V441" s="11"/>
      <c r="W441" s="9"/>
      <c r="X441" s="11"/>
    </row>
    <row r="442" spans="1:24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10"/>
      <c r="P442" s="10"/>
      <c r="Q442" s="9"/>
      <c r="R442" s="11"/>
      <c r="S442" s="8"/>
      <c r="T442" s="9"/>
      <c r="U442" s="9"/>
      <c r="V442" s="11"/>
      <c r="W442" s="9"/>
      <c r="X442" s="11"/>
    </row>
    <row r="443" spans="1:24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10"/>
      <c r="P443" s="10"/>
      <c r="Q443" s="9"/>
      <c r="R443" s="11"/>
      <c r="S443" s="8"/>
      <c r="T443" s="9"/>
      <c r="U443" s="9"/>
      <c r="V443" s="11"/>
      <c r="W443" s="9"/>
      <c r="X443" s="11"/>
    </row>
    <row r="444" spans="1:24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10"/>
      <c r="P444" s="10"/>
      <c r="Q444" s="9"/>
      <c r="R444" s="11"/>
      <c r="S444" s="8"/>
      <c r="T444" s="9"/>
      <c r="U444" s="9"/>
      <c r="V444" s="11"/>
      <c r="W444" s="9"/>
      <c r="X444" s="11"/>
    </row>
    <row r="445" spans="1:24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10"/>
      <c r="P445" s="10"/>
      <c r="Q445" s="9"/>
      <c r="R445" s="11"/>
      <c r="S445" s="8"/>
      <c r="T445" s="9"/>
      <c r="U445" s="9"/>
      <c r="V445" s="11"/>
      <c r="W445" s="9"/>
      <c r="X445" s="11"/>
    </row>
    <row r="446" spans="1:24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10"/>
      <c r="P446" s="10"/>
      <c r="Q446" s="9"/>
      <c r="R446" s="11"/>
      <c r="S446" s="8"/>
      <c r="T446" s="9"/>
      <c r="U446" s="9"/>
      <c r="V446" s="11"/>
      <c r="W446" s="9"/>
      <c r="X446" s="11"/>
    </row>
    <row r="447" spans="1:24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10"/>
      <c r="P447" s="10"/>
      <c r="Q447" s="9"/>
      <c r="R447" s="11"/>
      <c r="S447" s="8"/>
      <c r="T447" s="9"/>
      <c r="U447" s="9"/>
      <c r="V447" s="11"/>
      <c r="W447" s="9"/>
      <c r="X447" s="11"/>
    </row>
    <row r="448" spans="1:24">
      <c r="A448" s="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10"/>
      <c r="P448" s="10"/>
      <c r="Q448" s="9"/>
      <c r="R448" s="11"/>
      <c r="S448" s="8"/>
      <c r="T448" s="9"/>
      <c r="U448" s="9"/>
      <c r="V448" s="11"/>
      <c r="W448" s="9"/>
      <c r="X448" s="11"/>
    </row>
    <row r="449" spans="1:24">
      <c r="A449" s="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10"/>
      <c r="P449" s="10"/>
      <c r="Q449" s="9"/>
      <c r="R449" s="11"/>
      <c r="S449" s="8"/>
      <c r="T449" s="9"/>
      <c r="U449" s="9"/>
      <c r="V449" s="11"/>
      <c r="W449" s="9"/>
      <c r="X449" s="11"/>
    </row>
    <row r="450" spans="1:24">
      <c r="A450" s="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10"/>
      <c r="P450" s="10"/>
      <c r="Q450" s="9"/>
      <c r="R450" s="11"/>
      <c r="S450" s="8"/>
      <c r="T450" s="9"/>
      <c r="U450" s="9"/>
      <c r="V450" s="11"/>
      <c r="W450" s="9"/>
      <c r="X450" s="11"/>
    </row>
    <row r="451" spans="1:24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10"/>
      <c r="P451" s="10"/>
      <c r="Q451" s="9"/>
      <c r="R451" s="11"/>
      <c r="S451" s="8"/>
      <c r="T451" s="9"/>
      <c r="U451" s="9"/>
      <c r="V451" s="11"/>
      <c r="W451" s="9"/>
      <c r="X451" s="11"/>
    </row>
    <row r="452" spans="1:24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10"/>
      <c r="P452" s="10"/>
      <c r="Q452" s="9"/>
      <c r="R452" s="11"/>
      <c r="S452" s="8"/>
      <c r="T452" s="9"/>
      <c r="U452" s="9"/>
      <c r="V452" s="11"/>
      <c r="W452" s="9"/>
      <c r="X452" s="11"/>
    </row>
    <row r="453" spans="1:24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10"/>
      <c r="P453" s="10"/>
      <c r="Q453" s="9"/>
      <c r="R453" s="11"/>
      <c r="S453" s="8"/>
      <c r="T453" s="9"/>
      <c r="U453" s="9"/>
      <c r="V453" s="11"/>
      <c r="W453" s="9"/>
      <c r="X453" s="11"/>
    </row>
    <row r="454" spans="1:24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10"/>
      <c r="P454" s="10"/>
      <c r="Q454" s="9"/>
      <c r="R454" s="11"/>
      <c r="S454" s="8"/>
      <c r="T454" s="9"/>
      <c r="U454" s="9"/>
      <c r="V454" s="11"/>
      <c r="W454" s="9"/>
      <c r="X454" s="11"/>
    </row>
    <row r="455" spans="1:24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10"/>
      <c r="P455" s="10"/>
      <c r="Q455" s="9"/>
      <c r="R455" s="11"/>
      <c r="S455" s="8"/>
      <c r="T455" s="9"/>
      <c r="U455" s="9"/>
      <c r="V455" s="11"/>
      <c r="W455" s="9"/>
      <c r="X455" s="11"/>
    </row>
    <row r="456" spans="1:24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10"/>
      <c r="P456" s="10"/>
      <c r="Q456" s="9"/>
      <c r="R456" s="11"/>
      <c r="S456" s="8"/>
      <c r="T456" s="9"/>
      <c r="U456" s="9"/>
      <c r="V456" s="11"/>
      <c r="W456" s="9"/>
      <c r="X456" s="11"/>
    </row>
    <row r="457" spans="1:24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10"/>
      <c r="P457" s="10"/>
      <c r="Q457" s="9"/>
      <c r="R457" s="11"/>
      <c r="S457" s="8"/>
      <c r="T457" s="9"/>
      <c r="U457" s="9"/>
      <c r="V457" s="11"/>
      <c r="W457" s="9"/>
      <c r="X457" s="11"/>
    </row>
    <row r="458" spans="1:24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10"/>
      <c r="P458" s="10"/>
      <c r="Q458" s="9"/>
      <c r="R458" s="11"/>
      <c r="S458" s="8"/>
      <c r="T458" s="9"/>
      <c r="U458" s="9"/>
      <c r="V458" s="11"/>
      <c r="W458" s="9"/>
      <c r="X458" s="11"/>
    </row>
    <row r="459" spans="1:24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10"/>
      <c r="P459" s="10"/>
      <c r="Q459" s="9"/>
      <c r="R459" s="11"/>
      <c r="S459" s="8"/>
      <c r="T459" s="9"/>
      <c r="U459" s="9"/>
      <c r="V459" s="11"/>
      <c r="W459" s="9"/>
      <c r="X459" s="11"/>
    </row>
    <row r="460" spans="1:24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10"/>
      <c r="P460" s="10"/>
      <c r="Q460" s="9"/>
      <c r="R460" s="11"/>
      <c r="S460" s="8"/>
      <c r="T460" s="9"/>
      <c r="U460" s="9"/>
      <c r="V460" s="11"/>
      <c r="W460" s="9"/>
      <c r="X460" s="11"/>
    </row>
    <row r="461" spans="1:24">
      <c r="A461" s="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10"/>
      <c r="P461" s="10"/>
      <c r="Q461" s="9"/>
      <c r="R461" s="11"/>
      <c r="S461" s="8"/>
      <c r="T461" s="9"/>
      <c r="U461" s="9"/>
      <c r="V461" s="11"/>
      <c r="W461" s="9"/>
      <c r="X461" s="11"/>
    </row>
    <row r="462" spans="1:24">
      <c r="A462" s="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10"/>
      <c r="P462" s="10"/>
      <c r="Q462" s="9"/>
      <c r="R462" s="11"/>
      <c r="S462" s="8"/>
      <c r="T462" s="9"/>
      <c r="U462" s="9"/>
      <c r="V462" s="11"/>
      <c r="W462" s="9"/>
      <c r="X462" s="11"/>
    </row>
    <row r="463" spans="1:24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10"/>
      <c r="P463" s="10"/>
      <c r="Q463" s="9"/>
      <c r="R463" s="11"/>
      <c r="S463" s="8"/>
      <c r="T463" s="9"/>
      <c r="U463" s="9"/>
      <c r="V463" s="11"/>
      <c r="W463" s="9"/>
      <c r="X463" s="11"/>
    </row>
    <row r="464" spans="1:24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10"/>
      <c r="P464" s="10"/>
      <c r="Q464" s="9"/>
      <c r="R464" s="11"/>
      <c r="S464" s="8"/>
      <c r="T464" s="9"/>
      <c r="U464" s="9"/>
      <c r="V464" s="11"/>
      <c r="W464" s="9"/>
      <c r="X464" s="11"/>
    </row>
    <row r="465" spans="1:24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10"/>
      <c r="P465" s="10"/>
      <c r="Q465" s="9"/>
      <c r="R465" s="11"/>
      <c r="S465" s="8"/>
      <c r="T465" s="9"/>
      <c r="U465" s="9"/>
      <c r="V465" s="11"/>
      <c r="W465" s="9"/>
      <c r="X465" s="11"/>
    </row>
    <row r="466" spans="1:24">
      <c r="A466" s="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10"/>
      <c r="P466" s="10"/>
      <c r="Q466" s="9"/>
      <c r="R466" s="11"/>
      <c r="S466" s="8"/>
      <c r="T466" s="9"/>
      <c r="U466" s="9"/>
      <c r="V466" s="11"/>
      <c r="W466" s="9"/>
      <c r="X466" s="11"/>
    </row>
    <row r="467" spans="1:24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10"/>
      <c r="P467" s="10"/>
      <c r="Q467" s="9"/>
      <c r="R467" s="11"/>
      <c r="S467" s="8"/>
      <c r="T467" s="9"/>
      <c r="U467" s="9"/>
      <c r="V467" s="11"/>
      <c r="W467" s="9"/>
      <c r="X467" s="11"/>
    </row>
    <row r="468" spans="1:24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10"/>
      <c r="P468" s="10"/>
      <c r="Q468" s="9"/>
      <c r="R468" s="11"/>
      <c r="S468" s="8"/>
      <c r="T468" s="9"/>
      <c r="U468" s="9"/>
      <c r="V468" s="11"/>
      <c r="W468" s="9"/>
      <c r="X468" s="11"/>
    </row>
    <row r="469" spans="1:24">
      <c r="A469" s="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10"/>
      <c r="P469" s="10"/>
      <c r="Q469" s="9"/>
      <c r="R469" s="11"/>
      <c r="S469" s="8"/>
      <c r="T469" s="9"/>
      <c r="U469" s="9"/>
      <c r="V469" s="11"/>
      <c r="W469" s="9"/>
      <c r="X469" s="11"/>
    </row>
    <row r="470" spans="1:24">
      <c r="A470" s="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10"/>
      <c r="P470" s="10"/>
      <c r="Q470" s="9"/>
      <c r="R470" s="11"/>
      <c r="S470" s="8"/>
      <c r="T470" s="9"/>
      <c r="U470" s="9"/>
      <c r="V470" s="11"/>
      <c r="W470" s="9"/>
      <c r="X470" s="11"/>
    </row>
    <row r="471" spans="1:24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10"/>
      <c r="P471" s="10"/>
      <c r="Q471" s="9"/>
      <c r="R471" s="11"/>
      <c r="S471" s="8"/>
      <c r="T471" s="9"/>
      <c r="U471" s="9"/>
      <c r="V471" s="11"/>
      <c r="W471" s="9"/>
      <c r="X471" s="11"/>
    </row>
    <row r="472" spans="1:24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10"/>
      <c r="P472" s="10"/>
      <c r="Q472" s="9"/>
      <c r="R472" s="11"/>
      <c r="S472" s="8"/>
      <c r="T472" s="9"/>
      <c r="U472" s="9"/>
      <c r="V472" s="11"/>
      <c r="W472" s="9"/>
      <c r="X472" s="11"/>
    </row>
    <row r="473" spans="1:24">
      <c r="A473" s="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10"/>
      <c r="P473" s="10"/>
      <c r="Q473" s="9"/>
      <c r="R473" s="11"/>
      <c r="S473" s="8"/>
      <c r="T473" s="9"/>
      <c r="U473" s="9"/>
      <c r="V473" s="11"/>
      <c r="W473" s="9"/>
      <c r="X473" s="11"/>
    </row>
    <row r="474" spans="1:24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10"/>
      <c r="P474" s="10"/>
      <c r="Q474" s="9"/>
      <c r="R474" s="11"/>
      <c r="S474" s="8"/>
      <c r="T474" s="9"/>
      <c r="U474" s="9"/>
      <c r="V474" s="11"/>
      <c r="W474" s="9"/>
      <c r="X474" s="11"/>
    </row>
    <row r="475" spans="1:24">
      <c r="A475" s="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10"/>
      <c r="P475" s="10"/>
      <c r="Q475" s="9"/>
      <c r="R475" s="11"/>
      <c r="S475" s="8"/>
      <c r="T475" s="9"/>
      <c r="U475" s="9"/>
      <c r="V475" s="11"/>
      <c r="W475" s="9"/>
      <c r="X475" s="11"/>
    </row>
    <row r="476" spans="1:24">
      <c r="A476" s="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10"/>
      <c r="P476" s="10"/>
      <c r="Q476" s="9"/>
      <c r="R476" s="11"/>
      <c r="S476" s="8"/>
      <c r="T476" s="9"/>
      <c r="U476" s="9"/>
      <c r="V476" s="11"/>
      <c r="W476" s="9"/>
      <c r="X476" s="11"/>
    </row>
    <row r="477" spans="1:24">
      <c r="A477" s="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10"/>
      <c r="P477" s="10"/>
      <c r="Q477" s="9"/>
      <c r="R477" s="11"/>
      <c r="S477" s="8"/>
      <c r="T477" s="9"/>
      <c r="U477" s="9"/>
      <c r="V477" s="11"/>
      <c r="W477" s="9"/>
      <c r="X477" s="11"/>
    </row>
    <row r="478" spans="1:24">
      <c r="A478" s="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10"/>
      <c r="P478" s="10"/>
      <c r="Q478" s="9"/>
      <c r="R478" s="11"/>
      <c r="S478" s="8"/>
      <c r="T478" s="9"/>
      <c r="U478" s="9"/>
      <c r="V478" s="11"/>
      <c r="W478" s="9"/>
      <c r="X478" s="11"/>
    </row>
    <row r="479" spans="1:24">
      <c r="A479" s="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10"/>
      <c r="P479" s="10"/>
      <c r="Q479" s="9"/>
      <c r="R479" s="11"/>
      <c r="S479" s="8"/>
      <c r="T479" s="9"/>
      <c r="U479" s="9"/>
      <c r="V479" s="11"/>
      <c r="W479" s="9"/>
      <c r="X479" s="11"/>
    </row>
    <row r="480" spans="1:24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10"/>
      <c r="P480" s="10"/>
      <c r="Q480" s="9"/>
      <c r="R480" s="11"/>
      <c r="S480" s="8"/>
      <c r="T480" s="9"/>
      <c r="U480" s="9"/>
      <c r="V480" s="11"/>
      <c r="W480" s="9"/>
      <c r="X480" s="11"/>
    </row>
    <row r="481" spans="1:24">
      <c r="A481" s="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10"/>
      <c r="P481" s="10"/>
      <c r="Q481" s="9"/>
      <c r="R481" s="11"/>
      <c r="S481" s="8"/>
      <c r="T481" s="9"/>
      <c r="U481" s="9"/>
      <c r="V481" s="11"/>
      <c r="W481" s="9"/>
      <c r="X481" s="11"/>
    </row>
    <row r="482" spans="1:24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10"/>
      <c r="P482" s="10"/>
      <c r="Q482" s="9"/>
      <c r="R482" s="11"/>
      <c r="S482" s="8"/>
      <c r="T482" s="9"/>
      <c r="U482" s="9"/>
      <c r="V482" s="11"/>
      <c r="W482" s="9"/>
      <c r="X482" s="11"/>
    </row>
    <row r="483" spans="1:24">
      <c r="A483" s="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10"/>
      <c r="P483" s="10"/>
      <c r="Q483" s="9"/>
      <c r="R483" s="11"/>
      <c r="S483" s="8"/>
      <c r="T483" s="9"/>
      <c r="U483" s="9"/>
      <c r="V483" s="11"/>
      <c r="W483" s="9"/>
      <c r="X483" s="11"/>
    </row>
    <row r="484" spans="1:24">
      <c r="A484" s="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10"/>
      <c r="P484" s="10"/>
      <c r="Q484" s="9"/>
      <c r="R484" s="11"/>
      <c r="S484" s="8"/>
      <c r="T484" s="9"/>
      <c r="U484" s="9"/>
      <c r="V484" s="11"/>
      <c r="W484" s="9"/>
      <c r="X484" s="11"/>
    </row>
    <row r="485" spans="1:24">
      <c r="A485" s="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10"/>
      <c r="P485" s="10"/>
      <c r="Q485" s="9"/>
      <c r="R485" s="11"/>
      <c r="S485" s="8"/>
      <c r="T485" s="9"/>
      <c r="U485" s="9"/>
      <c r="V485" s="11"/>
      <c r="W485" s="9"/>
      <c r="X485" s="11"/>
    </row>
    <row r="486" spans="1:24">
      <c r="A486" s="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10"/>
      <c r="P486" s="10"/>
      <c r="Q486" s="9"/>
      <c r="R486" s="11"/>
      <c r="S486" s="8"/>
      <c r="T486" s="9"/>
      <c r="U486" s="9"/>
      <c r="V486" s="11"/>
      <c r="W486" s="9"/>
      <c r="X486" s="11"/>
    </row>
    <row r="487" spans="1:24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10"/>
      <c r="P487" s="10"/>
      <c r="Q487" s="9"/>
      <c r="R487" s="11"/>
      <c r="S487" s="8"/>
      <c r="T487" s="9"/>
      <c r="U487" s="9"/>
      <c r="V487" s="11"/>
      <c r="W487" s="9"/>
      <c r="X487" s="11"/>
    </row>
    <row r="488" spans="1:24">
      <c r="A488" s="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10"/>
      <c r="P488" s="10"/>
      <c r="Q488" s="9"/>
      <c r="R488" s="11"/>
      <c r="S488" s="8"/>
      <c r="T488" s="9"/>
      <c r="U488" s="9"/>
      <c r="V488" s="11"/>
      <c r="W488" s="9"/>
      <c r="X488" s="11"/>
    </row>
    <row r="489" spans="1:24">
      <c r="A489" s="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10"/>
      <c r="P489" s="10"/>
      <c r="Q489" s="9"/>
      <c r="R489" s="11"/>
      <c r="S489" s="8"/>
      <c r="T489" s="9"/>
      <c r="U489" s="9"/>
      <c r="V489" s="11"/>
      <c r="W489" s="9"/>
      <c r="X489" s="11"/>
    </row>
    <row r="490" spans="1:24">
      <c r="A490" s="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10"/>
      <c r="P490" s="10"/>
      <c r="Q490" s="9"/>
      <c r="R490" s="11"/>
      <c r="S490" s="8"/>
      <c r="T490" s="9"/>
      <c r="U490" s="9"/>
      <c r="V490" s="11"/>
      <c r="W490" s="9"/>
      <c r="X490" s="11"/>
    </row>
    <row r="491" spans="1:24">
      <c r="A491" s="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10"/>
      <c r="P491" s="10"/>
      <c r="Q491" s="9"/>
      <c r="R491" s="11"/>
      <c r="S491" s="8"/>
      <c r="T491" s="9"/>
      <c r="U491" s="9"/>
      <c r="V491" s="11"/>
      <c r="W491" s="9"/>
      <c r="X491" s="11"/>
    </row>
    <row r="492" spans="1:24">
      <c r="A492" s="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10"/>
      <c r="P492" s="10"/>
      <c r="Q492" s="9"/>
      <c r="R492" s="11"/>
      <c r="S492" s="8"/>
      <c r="T492" s="9"/>
      <c r="U492" s="9"/>
      <c r="V492" s="11"/>
      <c r="W492" s="9"/>
      <c r="X492" s="11"/>
    </row>
    <row r="493" spans="1:24">
      <c r="A493" s="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10"/>
      <c r="P493" s="10"/>
      <c r="Q493" s="9"/>
      <c r="R493" s="11"/>
      <c r="S493" s="8"/>
      <c r="T493" s="9"/>
      <c r="U493" s="9"/>
      <c r="V493" s="11"/>
      <c r="W493" s="9"/>
      <c r="X493" s="11"/>
    </row>
    <row r="494" spans="1:24">
      <c r="A494" s="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10"/>
      <c r="P494" s="10"/>
      <c r="Q494" s="9"/>
      <c r="R494" s="11"/>
      <c r="S494" s="8"/>
      <c r="T494" s="9"/>
      <c r="U494" s="9"/>
      <c r="V494" s="11"/>
      <c r="W494" s="9"/>
      <c r="X494" s="11"/>
    </row>
    <row r="495" spans="1:24">
      <c r="A495" s="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10"/>
      <c r="P495" s="10"/>
      <c r="Q495" s="9"/>
      <c r="R495" s="11"/>
      <c r="S495" s="8"/>
      <c r="T495" s="9"/>
      <c r="U495" s="9"/>
      <c r="V495" s="11"/>
      <c r="W495" s="9"/>
      <c r="X495" s="11"/>
    </row>
    <row r="499" spans="1:26">
      <c r="B499" s="12" t="s">
        <v>33</v>
      </c>
    </row>
    <row r="500" spans="1:26">
      <c r="A500" s="7" t="s">
        <v>9</v>
      </c>
      <c r="B500" s="7" t="s">
        <v>10</v>
      </c>
      <c r="C500" s="7" t="s">
        <v>11</v>
      </c>
      <c r="D500" s="7" t="s">
        <v>12</v>
      </c>
      <c r="E500" s="7" t="s">
        <v>13</v>
      </c>
      <c r="F500" s="7" t="s">
        <v>14</v>
      </c>
      <c r="G500" s="7" t="s">
        <v>15</v>
      </c>
      <c r="H500" s="7" t="s">
        <v>16</v>
      </c>
      <c r="I500" s="7" t="s">
        <v>17</v>
      </c>
      <c r="J500" s="7" t="s">
        <v>18</v>
      </c>
      <c r="K500" s="7" t="s">
        <v>19</v>
      </c>
      <c r="L500" s="7" t="s">
        <v>20</v>
      </c>
      <c r="M500" s="7" t="s">
        <v>21</v>
      </c>
      <c r="N500" s="7" t="s">
        <v>22</v>
      </c>
      <c r="O500" s="7" t="s">
        <v>23</v>
      </c>
      <c r="P500" s="7" t="s">
        <v>24</v>
      </c>
      <c r="Q500" s="7" t="s">
        <v>25</v>
      </c>
      <c r="R500" s="7" t="s">
        <v>26</v>
      </c>
      <c r="S500" s="7" t="s">
        <v>27</v>
      </c>
      <c r="T500" s="7" t="s">
        <v>28</v>
      </c>
      <c r="U500" s="7" t="s">
        <v>29</v>
      </c>
      <c r="V500" s="7" t="s">
        <v>30</v>
      </c>
      <c r="W500" s="7" t="s">
        <v>31</v>
      </c>
      <c r="X500" s="7" t="s">
        <v>32</v>
      </c>
      <c r="Z500" s="13" t="s">
        <v>34</v>
      </c>
    </row>
    <row r="501" spans="1:26">
      <c r="A501" s="8">
        <v>1</v>
      </c>
      <c r="B501" s="9" t="s">
        <v>104</v>
      </c>
      <c r="C501" s="9" t="s">
        <v>127</v>
      </c>
      <c r="D501" s="9" t="s">
        <v>36</v>
      </c>
      <c r="E501" s="9" t="s">
        <v>37</v>
      </c>
      <c r="F501" s="9" t="s">
        <v>38</v>
      </c>
      <c r="G501" s="9" t="s">
        <v>39</v>
      </c>
      <c r="H501" s="9" t="s">
        <v>159</v>
      </c>
      <c r="I501" s="9" t="s">
        <v>40</v>
      </c>
      <c r="J501" s="9" t="s">
        <v>41</v>
      </c>
      <c r="K501" s="9" t="s">
        <v>42</v>
      </c>
      <c r="L501" s="9" t="s">
        <v>191</v>
      </c>
      <c r="M501" s="9" t="s">
        <v>192</v>
      </c>
      <c r="N501" s="9" t="s">
        <v>192</v>
      </c>
      <c r="O501" s="10">
        <v>34350000</v>
      </c>
      <c r="P501" s="10">
        <v>31610000</v>
      </c>
      <c r="Q501" s="9" t="s">
        <v>81</v>
      </c>
      <c r="R501" s="11">
        <v>46224</v>
      </c>
      <c r="S501" s="8">
        <v>21</v>
      </c>
      <c r="T501" s="9" t="s">
        <v>44</v>
      </c>
      <c r="U501" s="9" t="s">
        <v>29</v>
      </c>
      <c r="V501" s="11">
        <v>46296</v>
      </c>
      <c r="W501" s="9" t="s">
        <v>45</v>
      </c>
      <c r="X501" s="11">
        <v>46245</v>
      </c>
      <c r="Z501" s="14">
        <f t="shared" ref="Z501:Z508" si="0">SUBTOTAL(103,H501)</f>
        <v>1</v>
      </c>
    </row>
    <row r="502" spans="1:26">
      <c r="A502" s="8">
        <v>2</v>
      </c>
      <c r="B502" s="9" t="s">
        <v>104</v>
      </c>
      <c r="C502" s="9" t="s">
        <v>128</v>
      </c>
      <c r="D502" s="9" t="s">
        <v>36</v>
      </c>
      <c r="E502" s="9" t="s">
        <v>46</v>
      </c>
      <c r="F502" s="9" t="s">
        <v>47</v>
      </c>
      <c r="G502" s="9" t="s">
        <v>48</v>
      </c>
      <c r="H502" s="9" t="s">
        <v>160</v>
      </c>
      <c r="I502" s="9" t="s">
        <v>40</v>
      </c>
      <c r="J502" s="9" t="s">
        <v>49</v>
      </c>
      <c r="K502" s="9" t="s">
        <v>42</v>
      </c>
      <c r="L502" s="9" t="s">
        <v>193</v>
      </c>
      <c r="M502" s="9" t="s">
        <v>192</v>
      </c>
      <c r="N502" s="9" t="s">
        <v>192</v>
      </c>
      <c r="O502" s="10">
        <v>247220000</v>
      </c>
      <c r="P502" s="10">
        <v>562830000</v>
      </c>
      <c r="Q502" s="9" t="s">
        <v>75</v>
      </c>
      <c r="R502" s="11">
        <v>46225</v>
      </c>
      <c r="S502" s="8">
        <v>20</v>
      </c>
      <c r="T502" s="9" t="s">
        <v>44</v>
      </c>
      <c r="U502" s="9" t="s">
        <v>29</v>
      </c>
      <c r="V502" s="11">
        <v>46297</v>
      </c>
      <c r="W502" s="9" t="s">
        <v>51</v>
      </c>
      <c r="X502" s="11">
        <v>46245</v>
      </c>
      <c r="Z502" s="14">
        <f t="shared" si="0"/>
        <v>1</v>
      </c>
    </row>
    <row r="503" spans="1:26">
      <c r="A503" s="8">
        <v>3</v>
      </c>
      <c r="B503" s="9" t="s">
        <v>104</v>
      </c>
      <c r="C503" s="9" t="s">
        <v>129</v>
      </c>
      <c r="D503" s="9" t="s">
        <v>36</v>
      </c>
      <c r="E503" s="9" t="s">
        <v>52</v>
      </c>
      <c r="F503" s="9" t="s">
        <v>38</v>
      </c>
      <c r="G503" s="9" t="s">
        <v>53</v>
      </c>
      <c r="H503" s="9" t="s">
        <v>161</v>
      </c>
      <c r="I503" s="9" t="s">
        <v>40</v>
      </c>
      <c r="J503" s="9" t="s">
        <v>54</v>
      </c>
      <c r="K503" s="9" t="s">
        <v>54</v>
      </c>
      <c r="L503" s="9" t="s">
        <v>194</v>
      </c>
      <c r="M503" s="9" t="s">
        <v>192</v>
      </c>
      <c r="N503" s="9" t="s">
        <v>192</v>
      </c>
      <c r="O503" s="10">
        <v>407370000</v>
      </c>
      <c r="P503" s="10">
        <v>502200000</v>
      </c>
      <c r="Q503" s="9" t="s">
        <v>71</v>
      </c>
      <c r="R503" s="11">
        <v>46217</v>
      </c>
      <c r="S503" s="8">
        <v>28</v>
      </c>
      <c r="T503" s="9" t="s">
        <v>44</v>
      </c>
      <c r="U503" s="9" t="s">
        <v>29</v>
      </c>
      <c r="V503" s="11">
        <v>46303</v>
      </c>
      <c r="W503" s="9" t="s">
        <v>45</v>
      </c>
      <c r="X503" s="11">
        <v>46245</v>
      </c>
      <c r="Z503" s="14">
        <f t="shared" si="0"/>
        <v>1</v>
      </c>
    </row>
    <row r="504" spans="1:26">
      <c r="A504" s="8">
        <v>4</v>
      </c>
      <c r="B504" s="9" t="s">
        <v>104</v>
      </c>
      <c r="C504" s="9" t="s">
        <v>130</v>
      </c>
      <c r="D504" s="9" t="s">
        <v>36</v>
      </c>
      <c r="E504" s="9" t="s">
        <v>55</v>
      </c>
      <c r="F504" s="9" t="s">
        <v>56</v>
      </c>
      <c r="G504" s="9" t="s">
        <v>57</v>
      </c>
      <c r="H504" s="9" t="s">
        <v>162</v>
      </c>
      <c r="I504" s="9" t="s">
        <v>40</v>
      </c>
      <c r="J504" s="9" t="s">
        <v>58</v>
      </c>
      <c r="K504" s="9" t="s">
        <v>59</v>
      </c>
      <c r="L504" s="9" t="s">
        <v>195</v>
      </c>
      <c r="M504" s="9" t="s">
        <v>192</v>
      </c>
      <c r="N504" s="9" t="s">
        <v>192</v>
      </c>
      <c r="O504" s="10">
        <v>835580000</v>
      </c>
      <c r="P504" s="10">
        <v>942090000</v>
      </c>
      <c r="Q504" s="9" t="s">
        <v>64</v>
      </c>
      <c r="R504" s="11">
        <v>46225</v>
      </c>
      <c r="S504" s="8">
        <v>20</v>
      </c>
      <c r="T504" s="9" t="s">
        <v>44</v>
      </c>
      <c r="U504" s="9" t="s">
        <v>29</v>
      </c>
      <c r="V504" s="11">
        <v>46307</v>
      </c>
      <c r="W504" s="9" t="s">
        <v>45</v>
      </c>
      <c r="X504" s="11">
        <v>46245</v>
      </c>
      <c r="Z504" s="14">
        <f t="shared" si="0"/>
        <v>1</v>
      </c>
    </row>
    <row r="505" spans="1:26">
      <c r="A505" s="8">
        <v>5</v>
      </c>
      <c r="B505" s="9" t="s">
        <v>104</v>
      </c>
      <c r="C505" s="9" t="s">
        <v>131</v>
      </c>
      <c r="D505" s="9" t="s">
        <v>36</v>
      </c>
      <c r="E505" s="9" t="s">
        <v>60</v>
      </c>
      <c r="F505" s="9" t="s">
        <v>56</v>
      </c>
      <c r="G505" s="9" t="s">
        <v>48</v>
      </c>
      <c r="H505" s="9" t="s">
        <v>163</v>
      </c>
      <c r="I505" s="9" t="s">
        <v>40</v>
      </c>
      <c r="J505" s="9" t="s">
        <v>41</v>
      </c>
      <c r="K505" s="9" t="s">
        <v>42</v>
      </c>
      <c r="L505" s="9" t="s">
        <v>196</v>
      </c>
      <c r="M505" s="9" t="s">
        <v>192</v>
      </c>
      <c r="N505" s="9" t="s">
        <v>192</v>
      </c>
      <c r="O505" s="10">
        <v>2877450000</v>
      </c>
      <c r="P505" s="10">
        <v>4707120000</v>
      </c>
      <c r="Q505" s="9" t="s">
        <v>50</v>
      </c>
      <c r="R505" s="11">
        <v>46231</v>
      </c>
      <c r="S505" s="8">
        <v>14</v>
      </c>
      <c r="T505" s="9" t="s">
        <v>44</v>
      </c>
      <c r="U505" s="9" t="s">
        <v>29</v>
      </c>
      <c r="V505" s="11">
        <v>46307</v>
      </c>
      <c r="W505" s="9" t="s">
        <v>45</v>
      </c>
      <c r="X505" s="11">
        <v>46245</v>
      </c>
      <c r="Z505" s="14">
        <f t="shared" si="0"/>
        <v>1</v>
      </c>
    </row>
    <row r="506" spans="1:26">
      <c r="A506" s="8">
        <v>6</v>
      </c>
      <c r="B506" s="9" t="s">
        <v>104</v>
      </c>
      <c r="C506" s="9" t="s">
        <v>132</v>
      </c>
      <c r="D506" s="9" t="s">
        <v>36</v>
      </c>
      <c r="E506" s="9" t="s">
        <v>61</v>
      </c>
      <c r="F506" s="9" t="s">
        <v>62</v>
      </c>
      <c r="G506" s="9" t="s">
        <v>53</v>
      </c>
      <c r="H506" s="9" t="s">
        <v>164</v>
      </c>
      <c r="I506" s="9" t="s">
        <v>40</v>
      </c>
      <c r="J506" s="9" t="s">
        <v>63</v>
      </c>
      <c r="K506" s="9" t="s">
        <v>59</v>
      </c>
      <c r="L506" s="9" t="s">
        <v>197</v>
      </c>
      <c r="M506" s="9" t="s">
        <v>192</v>
      </c>
      <c r="N506" s="9" t="s">
        <v>192</v>
      </c>
      <c r="O506" s="10">
        <v>4975500000</v>
      </c>
      <c r="P506" s="10">
        <v>5537750000</v>
      </c>
      <c r="Q506" s="9" t="s">
        <v>43</v>
      </c>
      <c r="R506" s="11">
        <v>46225</v>
      </c>
      <c r="S506" s="8">
        <v>20</v>
      </c>
      <c r="T506" s="9" t="s">
        <v>44</v>
      </c>
      <c r="U506" s="9" t="s">
        <v>29</v>
      </c>
      <c r="V506" s="11">
        <v>46316</v>
      </c>
      <c r="W506" s="9" t="s">
        <v>45</v>
      </c>
      <c r="X506" s="11">
        <v>46245</v>
      </c>
      <c r="Z506" s="14">
        <f t="shared" si="0"/>
        <v>1</v>
      </c>
    </row>
    <row r="507" spans="1:26">
      <c r="A507" s="8">
        <v>7</v>
      </c>
      <c r="B507" s="9" t="s">
        <v>104</v>
      </c>
      <c r="C507" s="9" t="s">
        <v>133</v>
      </c>
      <c r="D507" s="9" t="s">
        <v>36</v>
      </c>
      <c r="E507" s="9" t="s">
        <v>65</v>
      </c>
      <c r="F507" s="9" t="s">
        <v>62</v>
      </c>
      <c r="G507" s="9" t="s">
        <v>39</v>
      </c>
      <c r="H507" s="9" t="s">
        <v>165</v>
      </c>
      <c r="I507" s="9" t="s">
        <v>40</v>
      </c>
      <c r="J507" s="9" t="s">
        <v>49</v>
      </c>
      <c r="K507" s="9" t="s">
        <v>42</v>
      </c>
      <c r="L507" s="9" t="s">
        <v>198</v>
      </c>
      <c r="M507" s="9" t="s">
        <v>192</v>
      </c>
      <c r="N507" s="9" t="s">
        <v>192</v>
      </c>
      <c r="O507" s="10">
        <v>79010000</v>
      </c>
      <c r="P507" s="10">
        <v>92000000</v>
      </c>
      <c r="Q507" s="9" t="s">
        <v>81</v>
      </c>
      <c r="R507" s="11">
        <v>46238</v>
      </c>
      <c r="S507" s="8">
        <v>7</v>
      </c>
      <c r="T507" s="9" t="s">
        <v>66</v>
      </c>
      <c r="U507" s="9" t="s">
        <v>29</v>
      </c>
      <c r="V507" s="11">
        <v>46329</v>
      </c>
      <c r="W507" s="9" t="s">
        <v>45</v>
      </c>
      <c r="X507" s="11">
        <v>46245</v>
      </c>
      <c r="Z507" s="14">
        <f t="shared" si="0"/>
        <v>1</v>
      </c>
    </row>
    <row r="508" spans="1:26">
      <c r="A508" s="8">
        <v>8</v>
      </c>
      <c r="B508" s="9" t="s">
        <v>104</v>
      </c>
      <c r="C508" s="9" t="s">
        <v>134</v>
      </c>
      <c r="D508" s="9" t="s">
        <v>36</v>
      </c>
      <c r="E508" s="9" t="s">
        <v>55</v>
      </c>
      <c r="F508" s="9" t="s">
        <v>56</v>
      </c>
      <c r="G508" s="9" t="s">
        <v>67</v>
      </c>
      <c r="H508" s="9" t="s">
        <v>166</v>
      </c>
      <c r="I508" s="9" t="s">
        <v>40</v>
      </c>
      <c r="J508" s="9" t="s">
        <v>49</v>
      </c>
      <c r="K508" s="9" t="s">
        <v>42</v>
      </c>
      <c r="L508" s="9" t="s">
        <v>199</v>
      </c>
      <c r="M508" s="9" t="s">
        <v>192</v>
      </c>
      <c r="N508" s="9" t="s">
        <v>192</v>
      </c>
      <c r="O508" s="10">
        <v>206960000</v>
      </c>
      <c r="P508" s="10">
        <v>264530000</v>
      </c>
      <c r="Q508" s="9" t="s">
        <v>75</v>
      </c>
      <c r="R508" s="11">
        <v>46233</v>
      </c>
      <c r="S508" s="8">
        <v>12</v>
      </c>
      <c r="T508" s="9" t="s">
        <v>44</v>
      </c>
      <c r="U508" s="9" t="s">
        <v>29</v>
      </c>
      <c r="V508" s="11">
        <v>46309</v>
      </c>
      <c r="W508" s="9" t="s">
        <v>45</v>
      </c>
      <c r="X508" s="11">
        <v>46245</v>
      </c>
      <c r="Z508" s="14">
        <f t="shared" si="0"/>
        <v>1</v>
      </c>
    </row>
    <row r="509" spans="1:26">
      <c r="A509" s="8">
        <v>9</v>
      </c>
      <c r="B509" s="9" t="s">
        <v>112</v>
      </c>
      <c r="C509" s="9" t="s">
        <v>135</v>
      </c>
      <c r="D509" s="9" t="s">
        <v>36</v>
      </c>
      <c r="E509" s="9" t="s">
        <v>37</v>
      </c>
      <c r="F509" s="9" t="s">
        <v>38</v>
      </c>
      <c r="G509" s="9" t="s">
        <v>100</v>
      </c>
      <c r="H509" s="9" t="s">
        <v>167</v>
      </c>
      <c r="I509" s="9" t="s">
        <v>40</v>
      </c>
      <c r="J509" s="9" t="s">
        <v>63</v>
      </c>
      <c r="K509" s="9" t="s">
        <v>59</v>
      </c>
      <c r="L509" s="9" t="s">
        <v>200</v>
      </c>
      <c r="M509" s="9" t="s">
        <v>192</v>
      </c>
      <c r="N509" s="9" t="s">
        <v>192</v>
      </c>
      <c r="O509" s="10">
        <v>361040000</v>
      </c>
      <c r="P509" s="10">
        <v>800160000</v>
      </c>
      <c r="Q509" s="9" t="s">
        <v>71</v>
      </c>
      <c r="R509" s="11">
        <v>46217</v>
      </c>
      <c r="S509" s="8">
        <v>28</v>
      </c>
      <c r="T509" s="9" t="s">
        <v>44</v>
      </c>
      <c r="U509" s="9" t="s">
        <v>29</v>
      </c>
      <c r="V509" s="11">
        <v>46311</v>
      </c>
      <c r="W509" s="9" t="s">
        <v>45</v>
      </c>
      <c r="X509" s="11">
        <v>46245</v>
      </c>
      <c r="Z509" s="14">
        <f t="shared" ref="Z509:Z516" si="1">SUBTOTAL(103,H509)</f>
        <v>1</v>
      </c>
    </row>
    <row r="510" spans="1:26">
      <c r="A510" s="8">
        <v>10</v>
      </c>
      <c r="B510" s="9" t="s">
        <v>112</v>
      </c>
      <c r="C510" s="9" t="s">
        <v>136</v>
      </c>
      <c r="D510" s="9" t="s">
        <v>36</v>
      </c>
      <c r="E510" s="9" t="s">
        <v>65</v>
      </c>
      <c r="F510" s="9" t="s">
        <v>62</v>
      </c>
      <c r="G510" s="9" t="s">
        <v>78</v>
      </c>
      <c r="H510" s="9" t="s">
        <v>168</v>
      </c>
      <c r="I510" s="9" t="s">
        <v>40</v>
      </c>
      <c r="J510" s="9" t="s">
        <v>49</v>
      </c>
      <c r="K510" s="9" t="s">
        <v>42</v>
      </c>
      <c r="L510" s="9" t="s">
        <v>201</v>
      </c>
      <c r="M510" s="9" t="s">
        <v>192</v>
      </c>
      <c r="N510" s="9" t="s">
        <v>192</v>
      </c>
      <c r="O510" s="10">
        <v>879400000</v>
      </c>
      <c r="P510" s="10">
        <v>987510000</v>
      </c>
      <c r="Q510" s="9" t="s">
        <v>64</v>
      </c>
      <c r="R510" s="11">
        <v>46217</v>
      </c>
      <c r="S510" s="8">
        <v>28</v>
      </c>
      <c r="T510" s="9" t="s">
        <v>44</v>
      </c>
      <c r="U510" s="9" t="s">
        <v>29</v>
      </c>
      <c r="V510" s="11">
        <v>46308</v>
      </c>
      <c r="W510" s="9" t="s">
        <v>45</v>
      </c>
      <c r="X510" s="11">
        <v>46245</v>
      </c>
      <c r="Z510" s="14">
        <f t="shared" si="1"/>
        <v>1</v>
      </c>
    </row>
    <row r="511" spans="1:26">
      <c r="A511" s="8">
        <v>11</v>
      </c>
      <c r="B511" s="9" t="s">
        <v>112</v>
      </c>
      <c r="C511" s="9" t="s">
        <v>137</v>
      </c>
      <c r="D511" s="9" t="s">
        <v>36</v>
      </c>
      <c r="E511" s="9" t="s">
        <v>101</v>
      </c>
      <c r="F511" s="9" t="s">
        <v>47</v>
      </c>
      <c r="G511" s="9" t="s">
        <v>76</v>
      </c>
      <c r="H511" s="9" t="s">
        <v>169</v>
      </c>
      <c r="I511" s="9" t="s">
        <v>40</v>
      </c>
      <c r="J511" s="9" t="s">
        <v>92</v>
      </c>
      <c r="K511" s="9" t="s">
        <v>87</v>
      </c>
      <c r="L511" s="9" t="s">
        <v>202</v>
      </c>
      <c r="M511" s="9" t="s">
        <v>192</v>
      </c>
      <c r="N511" s="9" t="s">
        <v>192</v>
      </c>
      <c r="O511" s="10">
        <v>2670750000</v>
      </c>
      <c r="P511" s="10">
        <v>4690640000</v>
      </c>
      <c r="Q511" s="9" t="s">
        <v>50</v>
      </c>
      <c r="R511" s="11">
        <v>46223</v>
      </c>
      <c r="S511" s="8">
        <v>22</v>
      </c>
      <c r="T511" s="9" t="s">
        <v>44</v>
      </c>
      <c r="U511" s="9" t="s">
        <v>29</v>
      </c>
      <c r="V511" s="11">
        <v>46297</v>
      </c>
      <c r="W511" s="9" t="s">
        <v>45</v>
      </c>
      <c r="X511" s="11">
        <v>46245</v>
      </c>
      <c r="Z511" s="14">
        <f t="shared" si="1"/>
        <v>1</v>
      </c>
    </row>
    <row r="512" spans="1:26">
      <c r="A512" s="8">
        <v>12</v>
      </c>
      <c r="B512" s="9" t="s">
        <v>112</v>
      </c>
      <c r="C512" s="9" t="s">
        <v>138</v>
      </c>
      <c r="D512" s="9" t="s">
        <v>36</v>
      </c>
      <c r="E512" s="9" t="s">
        <v>79</v>
      </c>
      <c r="F512" s="9" t="s">
        <v>73</v>
      </c>
      <c r="G512" s="9" t="s">
        <v>57</v>
      </c>
      <c r="H512" s="9" t="s">
        <v>170</v>
      </c>
      <c r="I512" s="9" t="s">
        <v>40</v>
      </c>
      <c r="J512" s="9" t="s">
        <v>54</v>
      </c>
      <c r="K512" s="9" t="s">
        <v>54</v>
      </c>
      <c r="L512" s="9" t="s">
        <v>203</v>
      </c>
      <c r="M512" s="9" t="s">
        <v>192</v>
      </c>
      <c r="N512" s="9" t="s">
        <v>192</v>
      </c>
      <c r="O512" s="10">
        <v>3434740000</v>
      </c>
      <c r="P512" s="10">
        <v>5697680000</v>
      </c>
      <c r="Q512" s="9" t="s">
        <v>43</v>
      </c>
      <c r="R512" s="11">
        <v>46227</v>
      </c>
      <c r="S512" s="8">
        <v>18</v>
      </c>
      <c r="T512" s="9" t="s">
        <v>44</v>
      </c>
      <c r="U512" s="9" t="s">
        <v>29</v>
      </c>
      <c r="V512" s="11">
        <v>46307</v>
      </c>
      <c r="W512" s="9" t="s">
        <v>45</v>
      </c>
      <c r="X512" s="11">
        <v>46245</v>
      </c>
      <c r="Z512" s="14">
        <f t="shared" si="1"/>
        <v>1</v>
      </c>
    </row>
    <row r="513" spans="1:26">
      <c r="A513" s="8">
        <v>13</v>
      </c>
      <c r="B513" s="9" t="s">
        <v>112</v>
      </c>
      <c r="C513" s="9" t="s">
        <v>139</v>
      </c>
      <c r="D513" s="9" t="s">
        <v>36</v>
      </c>
      <c r="E513" s="9" t="s">
        <v>68</v>
      </c>
      <c r="F513" s="9" t="s">
        <v>62</v>
      </c>
      <c r="G513" s="9" t="s">
        <v>80</v>
      </c>
      <c r="H513" s="9" t="s">
        <v>171</v>
      </c>
      <c r="I513" s="9" t="s">
        <v>40</v>
      </c>
      <c r="J513" s="9" t="s">
        <v>74</v>
      </c>
      <c r="K513" s="9" t="s">
        <v>59</v>
      </c>
      <c r="L513" s="9" t="s">
        <v>204</v>
      </c>
      <c r="M513" s="9" t="s">
        <v>192</v>
      </c>
      <c r="N513" s="9" t="s">
        <v>192</v>
      </c>
      <c r="O513" s="10">
        <v>48880000</v>
      </c>
      <c r="P513" s="10">
        <v>69080000</v>
      </c>
      <c r="Q513" s="9" t="s">
        <v>81</v>
      </c>
      <c r="R513" s="11">
        <v>46230</v>
      </c>
      <c r="S513" s="8">
        <v>15</v>
      </c>
      <c r="T513" s="9" t="s">
        <v>44</v>
      </c>
      <c r="U513" s="9" t="s">
        <v>29</v>
      </c>
      <c r="V513" s="11">
        <v>46322</v>
      </c>
      <c r="W513" s="9" t="s">
        <v>45</v>
      </c>
      <c r="X513" s="11">
        <v>46245</v>
      </c>
      <c r="Z513" s="14">
        <f t="shared" si="1"/>
        <v>1</v>
      </c>
    </row>
    <row r="514" spans="1:26">
      <c r="A514" s="8">
        <v>14</v>
      </c>
      <c r="B514" s="9" t="s">
        <v>112</v>
      </c>
      <c r="C514" s="9" t="s">
        <v>140</v>
      </c>
      <c r="D514" s="9" t="s">
        <v>36</v>
      </c>
      <c r="E514" s="9" t="s">
        <v>60</v>
      </c>
      <c r="F514" s="9" t="s">
        <v>56</v>
      </c>
      <c r="G514" s="9" t="s">
        <v>78</v>
      </c>
      <c r="H514" s="9" t="s">
        <v>172</v>
      </c>
      <c r="I514" s="9" t="s">
        <v>40</v>
      </c>
      <c r="J514" s="9" t="s">
        <v>95</v>
      </c>
      <c r="K514" s="9" t="s">
        <v>59</v>
      </c>
      <c r="L514" s="9" t="s">
        <v>196</v>
      </c>
      <c r="M514" s="9" t="s">
        <v>192</v>
      </c>
      <c r="N514" s="9" t="s">
        <v>192</v>
      </c>
      <c r="O514" s="10">
        <v>261540000</v>
      </c>
      <c r="P514" s="10">
        <v>404040000</v>
      </c>
      <c r="Q514" s="9" t="s">
        <v>75</v>
      </c>
      <c r="R514" s="11">
        <v>46225</v>
      </c>
      <c r="S514" s="8">
        <v>20</v>
      </c>
      <c r="T514" s="9" t="s">
        <v>44</v>
      </c>
      <c r="U514" s="9" t="s">
        <v>29</v>
      </c>
      <c r="V514" s="11">
        <v>46307</v>
      </c>
      <c r="W514" s="9" t="s">
        <v>45</v>
      </c>
      <c r="X514" s="11">
        <v>46245</v>
      </c>
      <c r="Z514" s="14">
        <f t="shared" si="1"/>
        <v>1</v>
      </c>
    </row>
    <row r="515" spans="1:26">
      <c r="A515" s="8">
        <v>15</v>
      </c>
      <c r="B515" s="9" t="s">
        <v>112</v>
      </c>
      <c r="C515" s="9" t="s">
        <v>141</v>
      </c>
      <c r="D515" s="9" t="s">
        <v>36</v>
      </c>
      <c r="E515" s="9" t="s">
        <v>61</v>
      </c>
      <c r="F515" s="9" t="s">
        <v>62</v>
      </c>
      <c r="G515" s="9" t="s">
        <v>91</v>
      </c>
      <c r="H515" s="9" t="s">
        <v>173</v>
      </c>
      <c r="I515" s="9" t="s">
        <v>40</v>
      </c>
      <c r="J515" s="9" t="s">
        <v>54</v>
      </c>
      <c r="K515" s="9" t="s">
        <v>54</v>
      </c>
      <c r="L515" s="9" t="s">
        <v>205</v>
      </c>
      <c r="M515" s="9" t="s">
        <v>192</v>
      </c>
      <c r="N515" s="9" t="s">
        <v>192</v>
      </c>
      <c r="O515" s="10">
        <v>359640000</v>
      </c>
      <c r="P515" s="10">
        <v>697460000</v>
      </c>
      <c r="Q515" s="9" t="s">
        <v>71</v>
      </c>
      <c r="R515" s="11">
        <v>46223</v>
      </c>
      <c r="S515" s="8">
        <v>22</v>
      </c>
      <c r="T515" s="9" t="s">
        <v>44</v>
      </c>
      <c r="U515" s="9" t="s">
        <v>29</v>
      </c>
      <c r="V515" s="11">
        <v>46315</v>
      </c>
      <c r="W515" s="9" t="s">
        <v>45</v>
      </c>
      <c r="X515" s="11">
        <v>46245</v>
      </c>
      <c r="Z515" s="14">
        <f t="shared" si="1"/>
        <v>1</v>
      </c>
    </row>
    <row r="516" spans="1:26">
      <c r="A516" s="8">
        <v>16</v>
      </c>
      <c r="B516" s="9" t="s">
        <v>112</v>
      </c>
      <c r="C516" s="9" t="s">
        <v>142</v>
      </c>
      <c r="D516" s="9" t="s">
        <v>82</v>
      </c>
      <c r="E516" s="9" t="s">
        <v>102</v>
      </c>
      <c r="F516" s="9" t="s">
        <v>89</v>
      </c>
      <c r="G516" s="9" t="s">
        <v>57</v>
      </c>
      <c r="H516" s="9" t="s">
        <v>174</v>
      </c>
      <c r="I516" s="9" t="s">
        <v>40</v>
      </c>
      <c r="J516" s="9" t="s">
        <v>103</v>
      </c>
      <c r="K516" s="9" t="s">
        <v>69</v>
      </c>
      <c r="L516" s="9" t="s">
        <v>206</v>
      </c>
      <c r="M516" s="9" t="s">
        <v>192</v>
      </c>
      <c r="N516" s="9" t="s">
        <v>192</v>
      </c>
      <c r="O516" s="10">
        <v>737180000</v>
      </c>
      <c r="P516" s="10">
        <v>756230000</v>
      </c>
      <c r="Q516" s="9" t="s">
        <v>64</v>
      </c>
      <c r="R516" s="11">
        <v>46217</v>
      </c>
      <c r="S516" s="8">
        <v>28</v>
      </c>
      <c r="T516" s="9" t="s">
        <v>44</v>
      </c>
      <c r="U516" s="9" t="s">
        <v>29</v>
      </c>
      <c r="V516" s="11">
        <v>46294</v>
      </c>
      <c r="W516" s="9" t="s">
        <v>45</v>
      </c>
      <c r="X516" s="11">
        <v>46245</v>
      </c>
      <c r="Z516" s="14">
        <f t="shared" si="1"/>
        <v>1</v>
      </c>
    </row>
    <row r="517" spans="1:26">
      <c r="A517" s="8">
        <v>17</v>
      </c>
      <c r="B517" s="9" t="s">
        <v>99</v>
      </c>
      <c r="C517" s="9" t="s">
        <v>143</v>
      </c>
      <c r="D517" s="9" t="s">
        <v>36</v>
      </c>
      <c r="E517" s="9" t="s">
        <v>105</v>
      </c>
      <c r="F517" s="9" t="s">
        <v>62</v>
      </c>
      <c r="G517" s="9" t="s">
        <v>53</v>
      </c>
      <c r="H517" s="9" t="s">
        <v>175</v>
      </c>
      <c r="I517" s="9" t="s">
        <v>98</v>
      </c>
      <c r="J517" s="9" t="s">
        <v>58</v>
      </c>
      <c r="K517" s="9" t="s">
        <v>59</v>
      </c>
      <c r="L517" s="9" t="s">
        <v>207</v>
      </c>
      <c r="M517" s="9" t="s">
        <v>192</v>
      </c>
      <c r="N517" s="9" t="s">
        <v>192</v>
      </c>
      <c r="O517" s="10">
        <v>1395580000</v>
      </c>
      <c r="P517" s="10">
        <v>2482780000</v>
      </c>
      <c r="Q517" s="9" t="s">
        <v>50</v>
      </c>
      <c r="R517" s="11">
        <v>46230</v>
      </c>
      <c r="S517" s="8">
        <v>15</v>
      </c>
      <c r="T517" s="9" t="s">
        <v>44</v>
      </c>
      <c r="U517" s="9" t="s">
        <v>29</v>
      </c>
      <c r="V517" s="11">
        <v>46322</v>
      </c>
      <c r="W517" s="9" t="s">
        <v>45</v>
      </c>
      <c r="X517" s="11">
        <v>46245</v>
      </c>
      <c r="Z517" s="14">
        <f t="shared" ref="Z517:Z524" si="2">SUBTOTAL(103,H517)</f>
        <v>1</v>
      </c>
    </row>
    <row r="518" spans="1:26">
      <c r="A518" s="8">
        <v>18</v>
      </c>
      <c r="B518" s="9" t="s">
        <v>99</v>
      </c>
      <c r="C518" s="9" t="s">
        <v>144</v>
      </c>
      <c r="D518" s="9" t="s">
        <v>36</v>
      </c>
      <c r="E518" s="9" t="s">
        <v>106</v>
      </c>
      <c r="F518" s="9" t="s">
        <v>73</v>
      </c>
      <c r="G518" s="9" t="s">
        <v>57</v>
      </c>
      <c r="H518" s="9" t="s">
        <v>176</v>
      </c>
      <c r="I518" s="9" t="s">
        <v>40</v>
      </c>
      <c r="J518" s="9" t="s">
        <v>74</v>
      </c>
      <c r="K518" s="9" t="s">
        <v>59</v>
      </c>
      <c r="L518" s="9" t="s">
        <v>208</v>
      </c>
      <c r="M518" s="9" t="s">
        <v>192</v>
      </c>
      <c r="N518" s="9" t="s">
        <v>192</v>
      </c>
      <c r="O518" s="10">
        <v>6134380000</v>
      </c>
      <c r="P518" s="10">
        <v>13701360000</v>
      </c>
      <c r="Q518" s="9" t="s">
        <v>43</v>
      </c>
      <c r="R518" s="11">
        <v>46227</v>
      </c>
      <c r="S518" s="8">
        <v>18</v>
      </c>
      <c r="T518" s="9" t="s">
        <v>44</v>
      </c>
      <c r="U518" s="9" t="s">
        <v>29</v>
      </c>
      <c r="V518" s="11">
        <v>46307</v>
      </c>
      <c r="W518" s="9" t="s">
        <v>45</v>
      </c>
      <c r="X518" s="11">
        <v>46245</v>
      </c>
      <c r="Z518" s="14">
        <f t="shared" si="2"/>
        <v>1</v>
      </c>
    </row>
    <row r="519" spans="1:26">
      <c r="A519" s="8">
        <v>19</v>
      </c>
      <c r="B519" s="9" t="s">
        <v>99</v>
      </c>
      <c r="C519" s="9" t="s">
        <v>145</v>
      </c>
      <c r="D519" s="9" t="s">
        <v>36</v>
      </c>
      <c r="E519" s="9" t="s">
        <v>107</v>
      </c>
      <c r="F519" s="9" t="s">
        <v>47</v>
      </c>
      <c r="G519" s="9" t="s">
        <v>76</v>
      </c>
      <c r="H519" s="9" t="s">
        <v>177</v>
      </c>
      <c r="I519" s="9" t="s">
        <v>40</v>
      </c>
      <c r="J519" s="9" t="s">
        <v>74</v>
      </c>
      <c r="K519" s="9" t="s">
        <v>59</v>
      </c>
      <c r="L519" s="9" t="s">
        <v>209</v>
      </c>
      <c r="M519" s="9" t="s">
        <v>192</v>
      </c>
      <c r="N519" s="9" t="s">
        <v>192</v>
      </c>
      <c r="O519" s="10">
        <v>35040000</v>
      </c>
      <c r="P519" s="10">
        <v>90400000</v>
      </c>
      <c r="Q519" s="9" t="s">
        <v>81</v>
      </c>
      <c r="R519" s="11">
        <v>46216</v>
      </c>
      <c r="S519" s="8">
        <v>29</v>
      </c>
      <c r="T519" s="9" t="s">
        <v>44</v>
      </c>
      <c r="U519" s="9" t="s">
        <v>29</v>
      </c>
      <c r="V519" s="11">
        <v>46293</v>
      </c>
      <c r="W519" s="9" t="s">
        <v>45</v>
      </c>
      <c r="X519" s="11">
        <v>46245</v>
      </c>
      <c r="Z519" s="14">
        <f t="shared" si="2"/>
        <v>1</v>
      </c>
    </row>
    <row r="520" spans="1:26">
      <c r="A520" s="8">
        <v>20</v>
      </c>
      <c r="B520" s="9" t="s">
        <v>99</v>
      </c>
      <c r="C520" s="9" t="s">
        <v>146</v>
      </c>
      <c r="D520" s="9" t="s">
        <v>36</v>
      </c>
      <c r="E520" s="9" t="s">
        <v>107</v>
      </c>
      <c r="F520" s="9" t="s">
        <v>47</v>
      </c>
      <c r="G520" s="9" t="s">
        <v>94</v>
      </c>
      <c r="H520" s="9" t="s">
        <v>178</v>
      </c>
      <c r="I520" s="9" t="s">
        <v>40</v>
      </c>
      <c r="J520" s="9" t="s">
        <v>58</v>
      </c>
      <c r="K520" s="9" t="s">
        <v>59</v>
      </c>
      <c r="L520" s="9" t="s">
        <v>210</v>
      </c>
      <c r="M520" s="9" t="s">
        <v>192</v>
      </c>
      <c r="N520" s="9" t="s">
        <v>192</v>
      </c>
      <c r="O520" s="10">
        <v>170240000</v>
      </c>
      <c r="P520" s="10">
        <v>248840000</v>
      </c>
      <c r="Q520" s="9" t="s">
        <v>75</v>
      </c>
      <c r="R520" s="11">
        <v>46226</v>
      </c>
      <c r="S520" s="8">
        <v>19</v>
      </c>
      <c r="T520" s="9" t="s">
        <v>44</v>
      </c>
      <c r="U520" s="9" t="s">
        <v>29</v>
      </c>
      <c r="V520" s="11">
        <v>46301</v>
      </c>
      <c r="W520" s="9" t="s">
        <v>45</v>
      </c>
      <c r="X520" s="11">
        <v>46245</v>
      </c>
      <c r="Z520" s="14">
        <f t="shared" si="2"/>
        <v>1</v>
      </c>
    </row>
    <row r="521" spans="1:26">
      <c r="A521" s="8">
        <v>21</v>
      </c>
      <c r="B521" s="9" t="s">
        <v>99</v>
      </c>
      <c r="C521" s="9" t="s">
        <v>147</v>
      </c>
      <c r="D521" s="9" t="s">
        <v>36</v>
      </c>
      <c r="E521" s="9" t="s">
        <v>108</v>
      </c>
      <c r="F521" s="9" t="s">
        <v>47</v>
      </c>
      <c r="G521" s="9" t="s">
        <v>94</v>
      </c>
      <c r="H521" s="9" t="s">
        <v>179</v>
      </c>
      <c r="I521" s="9" t="s">
        <v>40</v>
      </c>
      <c r="J521" s="9" t="s">
        <v>58</v>
      </c>
      <c r="K521" s="9" t="s">
        <v>59</v>
      </c>
      <c r="L521" s="9" t="s">
        <v>211</v>
      </c>
      <c r="M521" s="9" t="s">
        <v>192</v>
      </c>
      <c r="N521" s="9" t="s">
        <v>192</v>
      </c>
      <c r="O521" s="10">
        <v>461080000</v>
      </c>
      <c r="P521" s="10">
        <v>784190000</v>
      </c>
      <c r="Q521" s="9" t="s">
        <v>71</v>
      </c>
      <c r="R521" s="11">
        <v>46233</v>
      </c>
      <c r="S521" s="8">
        <v>12</v>
      </c>
      <c r="T521" s="9" t="s">
        <v>44</v>
      </c>
      <c r="U521" s="9" t="s">
        <v>29</v>
      </c>
      <c r="V521" s="11">
        <v>46310</v>
      </c>
      <c r="W521" s="9" t="s">
        <v>45</v>
      </c>
      <c r="X521" s="11">
        <v>46245</v>
      </c>
      <c r="Z521" s="14">
        <f t="shared" si="2"/>
        <v>1</v>
      </c>
    </row>
    <row r="522" spans="1:26">
      <c r="A522" s="8">
        <v>22</v>
      </c>
      <c r="B522" s="9" t="s">
        <v>99</v>
      </c>
      <c r="C522" s="9" t="s">
        <v>148</v>
      </c>
      <c r="D522" s="9" t="s">
        <v>36</v>
      </c>
      <c r="E522" s="9" t="s">
        <v>109</v>
      </c>
      <c r="F522" s="9" t="s">
        <v>56</v>
      </c>
      <c r="G522" s="9" t="s">
        <v>67</v>
      </c>
      <c r="H522" s="9" t="s">
        <v>180</v>
      </c>
      <c r="I522" s="9" t="s">
        <v>40</v>
      </c>
      <c r="J522" s="9" t="s">
        <v>63</v>
      </c>
      <c r="K522" s="9" t="s">
        <v>59</v>
      </c>
      <c r="L522" s="9" t="s">
        <v>212</v>
      </c>
      <c r="M522" s="9" t="s">
        <v>192</v>
      </c>
      <c r="N522" s="9" t="s">
        <v>192</v>
      </c>
      <c r="O522" s="10">
        <v>763290000</v>
      </c>
      <c r="P522" s="10">
        <v>1232600000</v>
      </c>
      <c r="Q522" s="9" t="s">
        <v>64</v>
      </c>
      <c r="R522" s="11">
        <v>46218</v>
      </c>
      <c r="S522" s="8">
        <v>27</v>
      </c>
      <c r="T522" s="9" t="s">
        <v>44</v>
      </c>
      <c r="U522" s="9" t="s">
        <v>29</v>
      </c>
      <c r="V522" s="11">
        <v>46301</v>
      </c>
      <c r="W522" s="9" t="s">
        <v>45</v>
      </c>
      <c r="X522" s="11">
        <v>46245</v>
      </c>
      <c r="Z522" s="14">
        <f t="shared" si="2"/>
        <v>1</v>
      </c>
    </row>
    <row r="523" spans="1:26">
      <c r="A523" s="8">
        <v>23</v>
      </c>
      <c r="B523" s="9" t="s">
        <v>99</v>
      </c>
      <c r="C523" s="9" t="s">
        <v>149</v>
      </c>
      <c r="D523" s="9" t="s">
        <v>36</v>
      </c>
      <c r="E523" s="9" t="s">
        <v>72</v>
      </c>
      <c r="F523" s="9" t="s">
        <v>73</v>
      </c>
      <c r="G523" s="9" t="s">
        <v>78</v>
      </c>
      <c r="H523" s="9" t="s">
        <v>181</v>
      </c>
      <c r="I523" s="9" t="s">
        <v>40</v>
      </c>
      <c r="J523" s="9" t="s">
        <v>63</v>
      </c>
      <c r="K523" s="9" t="s">
        <v>59</v>
      </c>
      <c r="L523" s="9" t="s">
        <v>213</v>
      </c>
      <c r="M523" s="9" t="s">
        <v>192</v>
      </c>
      <c r="N523" s="9" t="s">
        <v>192</v>
      </c>
      <c r="O523" s="10">
        <v>1952280000</v>
      </c>
      <c r="P523" s="10">
        <v>2856380000</v>
      </c>
      <c r="Q523" s="9" t="s">
        <v>50</v>
      </c>
      <c r="R523" s="11">
        <v>46219</v>
      </c>
      <c r="S523" s="8">
        <v>26</v>
      </c>
      <c r="T523" s="9" t="s">
        <v>44</v>
      </c>
      <c r="U523" s="9" t="s">
        <v>29</v>
      </c>
      <c r="V523" s="11">
        <v>46294</v>
      </c>
      <c r="W523" s="9" t="s">
        <v>45</v>
      </c>
      <c r="X523" s="11">
        <v>46245</v>
      </c>
      <c r="Z523" s="14">
        <f t="shared" si="2"/>
        <v>1</v>
      </c>
    </row>
    <row r="524" spans="1:26">
      <c r="A524" s="8">
        <v>24</v>
      </c>
      <c r="B524" s="9" t="s">
        <v>99</v>
      </c>
      <c r="C524" s="9" t="s">
        <v>150</v>
      </c>
      <c r="D524" s="9" t="s">
        <v>36</v>
      </c>
      <c r="E524" s="9" t="s">
        <v>110</v>
      </c>
      <c r="F524" s="9" t="s">
        <v>73</v>
      </c>
      <c r="G524" s="9" t="s">
        <v>76</v>
      </c>
      <c r="H524" s="9" t="s">
        <v>182</v>
      </c>
      <c r="I524" s="9" t="s">
        <v>40</v>
      </c>
      <c r="J524" s="9" t="s">
        <v>70</v>
      </c>
      <c r="K524" s="9" t="s">
        <v>59</v>
      </c>
      <c r="L524" s="9" t="s">
        <v>214</v>
      </c>
      <c r="M524" s="9" t="s">
        <v>192</v>
      </c>
      <c r="N524" s="9" t="s">
        <v>192</v>
      </c>
      <c r="O524" s="10">
        <v>4834720000</v>
      </c>
      <c r="P524" s="10">
        <v>11152400000</v>
      </c>
      <c r="Q524" s="9" t="s">
        <v>43</v>
      </c>
      <c r="R524" s="11">
        <v>46216</v>
      </c>
      <c r="S524" s="8">
        <v>29</v>
      </c>
      <c r="T524" s="9" t="s">
        <v>44</v>
      </c>
      <c r="U524" s="9" t="s">
        <v>29</v>
      </c>
      <c r="V524" s="11">
        <v>46293</v>
      </c>
      <c r="W524" s="9" t="s">
        <v>97</v>
      </c>
      <c r="X524" s="11">
        <v>46245</v>
      </c>
      <c r="Z524" s="14">
        <f t="shared" si="2"/>
        <v>1</v>
      </c>
    </row>
    <row r="525" spans="1:26">
      <c r="A525" s="8">
        <v>25</v>
      </c>
      <c r="B525" s="9" t="s">
        <v>35</v>
      </c>
      <c r="C525" s="9" t="s">
        <v>151</v>
      </c>
      <c r="D525" s="9" t="s">
        <v>36</v>
      </c>
      <c r="E525" s="9" t="s">
        <v>77</v>
      </c>
      <c r="F525" s="9" t="s">
        <v>73</v>
      </c>
      <c r="G525" s="9" t="s">
        <v>76</v>
      </c>
      <c r="H525" s="9" t="s">
        <v>183</v>
      </c>
      <c r="I525" s="9" t="s">
        <v>40</v>
      </c>
      <c r="J525" s="9" t="s">
        <v>58</v>
      </c>
      <c r="K525" s="9" t="s">
        <v>59</v>
      </c>
      <c r="L525" s="9" t="s">
        <v>215</v>
      </c>
      <c r="M525" s="9" t="s">
        <v>192</v>
      </c>
      <c r="N525" s="9" t="s">
        <v>192</v>
      </c>
      <c r="O525" s="10">
        <v>58220000</v>
      </c>
      <c r="P525" s="10">
        <v>85830000</v>
      </c>
      <c r="Q525" s="9" t="s">
        <v>81</v>
      </c>
      <c r="R525" s="11">
        <v>46226</v>
      </c>
      <c r="S525" s="8">
        <v>19</v>
      </c>
      <c r="T525" s="9" t="s">
        <v>44</v>
      </c>
      <c r="U525" s="9" t="s">
        <v>29</v>
      </c>
      <c r="V525" s="11">
        <v>46303</v>
      </c>
      <c r="W525" s="9" t="s">
        <v>45</v>
      </c>
      <c r="X525" s="11">
        <v>46245</v>
      </c>
      <c r="Z525" s="14">
        <f t="shared" ref="Z525:Z526" si="3">SUBTOTAL(103,H525)</f>
        <v>1</v>
      </c>
    </row>
    <row r="526" spans="1:26">
      <c r="A526" s="8">
        <v>26</v>
      </c>
      <c r="B526" s="9" t="s">
        <v>35</v>
      </c>
      <c r="C526" s="9" t="s">
        <v>152</v>
      </c>
      <c r="D526" s="9" t="s">
        <v>36</v>
      </c>
      <c r="E526" s="9" t="s">
        <v>113</v>
      </c>
      <c r="F526" s="9" t="s">
        <v>73</v>
      </c>
      <c r="G526" s="9" t="s">
        <v>53</v>
      </c>
      <c r="H526" s="9" t="s">
        <v>184</v>
      </c>
      <c r="I526" s="9" t="s">
        <v>40</v>
      </c>
      <c r="J526" s="9" t="s">
        <v>58</v>
      </c>
      <c r="K526" s="9" t="s">
        <v>59</v>
      </c>
      <c r="L526" s="9" t="s">
        <v>216</v>
      </c>
      <c r="M526" s="9" t="s">
        <v>192</v>
      </c>
      <c r="N526" s="9" t="s">
        <v>192</v>
      </c>
      <c r="O526" s="10">
        <v>138270000</v>
      </c>
      <c r="P526" s="10">
        <v>317710000</v>
      </c>
      <c r="Q526" s="9" t="s">
        <v>75</v>
      </c>
      <c r="R526" s="11">
        <v>46226</v>
      </c>
      <c r="S526" s="8">
        <v>19</v>
      </c>
      <c r="T526" s="9" t="s">
        <v>44</v>
      </c>
      <c r="U526" s="9" t="s">
        <v>29</v>
      </c>
      <c r="V526" s="11">
        <v>46303</v>
      </c>
      <c r="W526" s="9" t="s">
        <v>45</v>
      </c>
      <c r="X526" s="11">
        <v>46245</v>
      </c>
      <c r="Z526" s="14">
        <f t="shared" si="3"/>
        <v>1</v>
      </c>
    </row>
    <row r="527" spans="1:26">
      <c r="A527" s="8">
        <v>27</v>
      </c>
      <c r="B527" s="9" t="s">
        <v>35</v>
      </c>
      <c r="C527" s="9" t="s">
        <v>153</v>
      </c>
      <c r="D527" s="9" t="s">
        <v>36</v>
      </c>
      <c r="E527" s="9" t="s">
        <v>61</v>
      </c>
      <c r="F527" s="9" t="s">
        <v>62</v>
      </c>
      <c r="G527" s="9" t="s">
        <v>57</v>
      </c>
      <c r="H527" s="9" t="s">
        <v>185</v>
      </c>
      <c r="I527" s="9" t="s">
        <v>40</v>
      </c>
      <c r="J527" s="9" t="s">
        <v>58</v>
      </c>
      <c r="K527" s="9" t="s">
        <v>59</v>
      </c>
      <c r="L527" s="9" t="s">
        <v>217</v>
      </c>
      <c r="M527" s="9" t="s">
        <v>192</v>
      </c>
      <c r="N527" s="9" t="s">
        <v>192</v>
      </c>
      <c r="O527" s="10">
        <v>481950000</v>
      </c>
      <c r="P527" s="10">
        <v>838510000</v>
      </c>
      <c r="Q527" s="9" t="s">
        <v>71</v>
      </c>
      <c r="R527" s="11">
        <v>46223</v>
      </c>
      <c r="S527" s="8">
        <v>22</v>
      </c>
      <c r="T527" s="9" t="s">
        <v>44</v>
      </c>
      <c r="U527" s="9" t="s">
        <v>29</v>
      </c>
      <c r="V527" s="11">
        <v>46315</v>
      </c>
      <c r="W527" s="9" t="s">
        <v>45</v>
      </c>
      <c r="X527" s="11">
        <v>46245</v>
      </c>
      <c r="Z527" s="14">
        <f t="shared" ref="Z527:Z532" si="4">SUBTOTAL(103,H527)</f>
        <v>1</v>
      </c>
    </row>
    <row r="528" spans="1:26">
      <c r="A528" s="8">
        <v>28</v>
      </c>
      <c r="B528" s="9" t="s">
        <v>35</v>
      </c>
      <c r="C528" s="9" t="s">
        <v>154</v>
      </c>
      <c r="D528" s="9" t="s">
        <v>36</v>
      </c>
      <c r="E528" s="9" t="s">
        <v>114</v>
      </c>
      <c r="F528" s="9" t="s">
        <v>62</v>
      </c>
      <c r="G528" s="9" t="s">
        <v>96</v>
      </c>
      <c r="H528" s="9" t="s">
        <v>186</v>
      </c>
      <c r="I528" s="9" t="s">
        <v>98</v>
      </c>
      <c r="J528" s="9" t="s">
        <v>111</v>
      </c>
      <c r="K528" s="9" t="s">
        <v>59</v>
      </c>
      <c r="L528" s="9" t="s">
        <v>218</v>
      </c>
      <c r="M528" s="9" t="s">
        <v>192</v>
      </c>
      <c r="N528" s="9" t="s">
        <v>192</v>
      </c>
      <c r="O528" s="10">
        <v>804090000</v>
      </c>
      <c r="P528" s="10">
        <v>1190190000</v>
      </c>
      <c r="Q528" s="9" t="s">
        <v>64</v>
      </c>
      <c r="R528" s="11">
        <v>46227</v>
      </c>
      <c r="S528" s="8">
        <v>18</v>
      </c>
      <c r="T528" s="9" t="s">
        <v>44</v>
      </c>
      <c r="U528" s="9" t="s">
        <v>29</v>
      </c>
      <c r="V528" s="11">
        <v>46323</v>
      </c>
      <c r="W528" s="9" t="s">
        <v>45</v>
      </c>
      <c r="X528" s="11">
        <v>46245</v>
      </c>
      <c r="Z528" s="14">
        <f t="shared" si="4"/>
        <v>1</v>
      </c>
    </row>
    <row r="529" spans="1:26">
      <c r="A529" s="8">
        <v>29</v>
      </c>
      <c r="B529" s="9" t="s">
        <v>35</v>
      </c>
      <c r="C529" s="9" t="s">
        <v>155</v>
      </c>
      <c r="D529" s="9" t="s">
        <v>36</v>
      </c>
      <c r="E529" s="9" t="s">
        <v>101</v>
      </c>
      <c r="F529" s="9" t="s">
        <v>47</v>
      </c>
      <c r="G529" s="9" t="s">
        <v>78</v>
      </c>
      <c r="H529" s="9" t="s">
        <v>187</v>
      </c>
      <c r="I529" s="9" t="s">
        <v>98</v>
      </c>
      <c r="J529" s="9" t="s">
        <v>74</v>
      </c>
      <c r="K529" s="9" t="s">
        <v>59</v>
      </c>
      <c r="L529" s="9" t="s">
        <v>219</v>
      </c>
      <c r="M529" s="9" t="s">
        <v>192</v>
      </c>
      <c r="N529" s="9" t="s">
        <v>192</v>
      </c>
      <c r="O529" s="10">
        <v>1592180000</v>
      </c>
      <c r="P529" s="10">
        <v>2864660000</v>
      </c>
      <c r="Q529" s="9" t="s">
        <v>50</v>
      </c>
      <c r="R529" s="11">
        <v>46219</v>
      </c>
      <c r="S529" s="8">
        <v>26</v>
      </c>
      <c r="T529" s="9" t="s">
        <v>44</v>
      </c>
      <c r="U529" s="9" t="s">
        <v>29</v>
      </c>
      <c r="V529" s="11">
        <v>46295</v>
      </c>
      <c r="W529" s="9" t="s">
        <v>45</v>
      </c>
      <c r="X529" s="11">
        <v>46245</v>
      </c>
      <c r="Z529" s="14">
        <f t="shared" si="4"/>
        <v>1</v>
      </c>
    </row>
    <row r="530" spans="1:26">
      <c r="A530" s="8">
        <v>30</v>
      </c>
      <c r="B530" s="9" t="s">
        <v>35</v>
      </c>
      <c r="C530" s="9" t="s">
        <v>156</v>
      </c>
      <c r="D530" s="9" t="s">
        <v>82</v>
      </c>
      <c r="E530" s="9" t="s">
        <v>85</v>
      </c>
      <c r="F530" s="9" t="s">
        <v>86</v>
      </c>
      <c r="G530" s="9" t="s">
        <v>67</v>
      </c>
      <c r="H530" s="9" t="s">
        <v>188</v>
      </c>
      <c r="I530" s="9" t="s">
        <v>40</v>
      </c>
      <c r="J530" s="9" t="s">
        <v>115</v>
      </c>
      <c r="K530" s="9" t="s">
        <v>42</v>
      </c>
      <c r="L530" s="9" t="s">
        <v>220</v>
      </c>
      <c r="M530" s="9" t="s">
        <v>192</v>
      </c>
      <c r="N530" s="9" t="s">
        <v>192</v>
      </c>
      <c r="O530" s="10">
        <v>4505590000</v>
      </c>
      <c r="P530" s="10">
        <v>6983310000</v>
      </c>
      <c r="Q530" s="9" t="s">
        <v>43</v>
      </c>
      <c r="R530" s="11">
        <v>46218</v>
      </c>
      <c r="S530" s="8">
        <v>27</v>
      </c>
      <c r="T530" s="9" t="s">
        <v>44</v>
      </c>
      <c r="U530" s="9" t="s">
        <v>29</v>
      </c>
      <c r="V530" s="11">
        <v>46294</v>
      </c>
      <c r="W530" s="9" t="s">
        <v>45</v>
      </c>
      <c r="X530" s="11">
        <v>46245</v>
      </c>
      <c r="Z530" s="14">
        <f t="shared" si="4"/>
        <v>1</v>
      </c>
    </row>
    <row r="531" spans="1:26">
      <c r="A531" s="8">
        <v>31</v>
      </c>
      <c r="B531" s="9" t="s">
        <v>35</v>
      </c>
      <c r="C531" s="9" t="s">
        <v>157</v>
      </c>
      <c r="D531" s="9" t="s">
        <v>82</v>
      </c>
      <c r="E531" s="9" t="s">
        <v>90</v>
      </c>
      <c r="F531" s="9" t="s">
        <v>83</v>
      </c>
      <c r="G531" s="9" t="s">
        <v>93</v>
      </c>
      <c r="H531" s="9" t="s">
        <v>189</v>
      </c>
      <c r="I531" s="9" t="s">
        <v>40</v>
      </c>
      <c r="J531" s="9" t="s">
        <v>58</v>
      </c>
      <c r="K531" s="9" t="s">
        <v>59</v>
      </c>
      <c r="L531" s="9" t="s">
        <v>221</v>
      </c>
      <c r="M531" s="9" t="s">
        <v>192</v>
      </c>
      <c r="N531" s="9" t="s">
        <v>192</v>
      </c>
      <c r="O531" s="10">
        <v>81860000</v>
      </c>
      <c r="P531" s="10">
        <v>116300000</v>
      </c>
      <c r="Q531" s="9" t="s">
        <v>81</v>
      </c>
      <c r="R531" s="11">
        <v>46219</v>
      </c>
      <c r="S531" s="8">
        <v>26</v>
      </c>
      <c r="T531" s="9" t="s">
        <v>44</v>
      </c>
      <c r="U531" s="9" t="s">
        <v>29</v>
      </c>
      <c r="V531" s="11">
        <v>46295</v>
      </c>
      <c r="W531" s="9" t="s">
        <v>51</v>
      </c>
      <c r="X531" s="11">
        <v>46245</v>
      </c>
      <c r="Z531" s="14">
        <f t="shared" si="4"/>
        <v>1</v>
      </c>
    </row>
    <row r="532" spans="1:26">
      <c r="A532" s="8">
        <v>32</v>
      </c>
      <c r="B532" s="9" t="s">
        <v>35</v>
      </c>
      <c r="C532" s="9" t="s">
        <v>158</v>
      </c>
      <c r="D532" s="9" t="s">
        <v>82</v>
      </c>
      <c r="E532" s="9" t="s">
        <v>88</v>
      </c>
      <c r="F532" s="9" t="s">
        <v>84</v>
      </c>
      <c r="G532" s="9" t="s">
        <v>94</v>
      </c>
      <c r="H532" s="9" t="s">
        <v>190</v>
      </c>
      <c r="I532" s="9" t="s">
        <v>40</v>
      </c>
      <c r="J532" s="9" t="s">
        <v>41</v>
      </c>
      <c r="K532" s="9" t="s">
        <v>42</v>
      </c>
      <c r="L532" s="9" t="s">
        <v>222</v>
      </c>
      <c r="M532" s="9" t="s">
        <v>192</v>
      </c>
      <c r="N532" s="9" t="s">
        <v>192</v>
      </c>
      <c r="O532" s="10">
        <v>206070000</v>
      </c>
      <c r="P532" s="10">
        <v>229470000</v>
      </c>
      <c r="Q532" s="9" t="s">
        <v>75</v>
      </c>
      <c r="R532" s="11">
        <v>46219</v>
      </c>
      <c r="S532" s="8">
        <v>26</v>
      </c>
      <c r="T532" s="9" t="s">
        <v>44</v>
      </c>
      <c r="U532" s="9" t="s">
        <v>29</v>
      </c>
      <c r="V532" s="11">
        <v>46315</v>
      </c>
      <c r="W532" s="9" t="s">
        <v>45</v>
      </c>
      <c r="X532" s="11">
        <v>46245</v>
      </c>
      <c r="Z532" s="14">
        <f t="shared" si="4"/>
        <v>1</v>
      </c>
    </row>
  </sheetData>
  <phoneticPr fontId="10" type="noConversion"/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R28"/>
  <sheetViews>
    <sheetView workbookViewId="0"/>
  </sheetViews>
  <sheetFormatPr defaultRowHeight="17.399999999999999"/>
  <cols>
    <col min="1" max="2" width="11.19921875" bestFit="1" customWidth="1"/>
    <col min="3" max="3" width="14.3984375" bestFit="1" customWidth="1"/>
    <col min="4" max="4" width="5" bestFit="1" customWidth="1"/>
    <col min="5" max="5" width="14.3984375" bestFit="1" customWidth="1"/>
    <col min="6" max="6" width="9.19921875" bestFit="1" customWidth="1"/>
    <col min="7" max="7" width="18.8984375" bestFit="1" customWidth="1"/>
    <col min="8" max="8" width="31" bestFit="1" customWidth="1"/>
    <col min="9" max="9" width="11.19921875" bestFit="1" customWidth="1"/>
    <col min="10" max="11" width="5" bestFit="1" customWidth="1"/>
    <col min="12" max="12" width="8.59765625" bestFit="1" customWidth="1"/>
    <col min="13" max="13" width="6.796875" bestFit="1" customWidth="1"/>
    <col min="16" max="16" width="11.19921875" bestFit="1" customWidth="1"/>
    <col min="17" max="17" width="5" bestFit="1" customWidth="1"/>
    <col min="18" max="18" width="14.3984375" bestFit="1" customWidth="1"/>
  </cols>
  <sheetData>
    <row r="3" spans="1:18">
      <c r="B3" s="15" t="s">
        <v>118</v>
      </c>
      <c r="H3" s="15" t="s">
        <v>119</v>
      </c>
      <c r="I3" s="15" t="s">
        <v>118</v>
      </c>
      <c r="P3" s="15" t="s">
        <v>116</v>
      </c>
      <c r="Q3" t="s">
        <v>119</v>
      </c>
      <c r="R3" t="s">
        <v>3</v>
      </c>
    </row>
    <row r="4" spans="1:18">
      <c r="B4" t="s">
        <v>82</v>
      </c>
      <c r="D4" t="s">
        <v>36</v>
      </c>
      <c r="F4" t="s">
        <v>120</v>
      </c>
      <c r="G4" t="s">
        <v>121</v>
      </c>
      <c r="H4" s="15" t="s">
        <v>116</v>
      </c>
      <c r="I4" t="s">
        <v>35</v>
      </c>
      <c r="J4" t="s">
        <v>99</v>
      </c>
      <c r="K4" t="s">
        <v>104</v>
      </c>
      <c r="L4" t="s">
        <v>112</v>
      </c>
      <c r="M4" t="s">
        <v>117</v>
      </c>
      <c r="P4" s="16" t="s">
        <v>110</v>
      </c>
      <c r="Q4" s="20">
        <v>1</v>
      </c>
      <c r="R4" s="17">
        <v>4834720000</v>
      </c>
    </row>
    <row r="5" spans="1:18">
      <c r="A5" s="15" t="s">
        <v>116</v>
      </c>
      <c r="B5" t="s">
        <v>119</v>
      </c>
      <c r="C5" t="s">
        <v>3</v>
      </c>
      <c r="D5" t="s">
        <v>119</v>
      </c>
      <c r="E5" t="s">
        <v>3</v>
      </c>
      <c r="H5" s="16" t="s">
        <v>81</v>
      </c>
      <c r="I5" s="17">
        <v>2</v>
      </c>
      <c r="J5" s="17">
        <v>1</v>
      </c>
      <c r="K5" s="17">
        <v>2</v>
      </c>
      <c r="L5" s="17">
        <v>1</v>
      </c>
      <c r="M5" s="17">
        <v>6</v>
      </c>
      <c r="P5" s="16" t="s">
        <v>101</v>
      </c>
      <c r="Q5" s="20">
        <v>2</v>
      </c>
      <c r="R5" s="17">
        <v>4262930000</v>
      </c>
    </row>
    <row r="6" spans="1:18">
      <c r="A6" s="16" t="s">
        <v>35</v>
      </c>
      <c r="B6" s="17">
        <v>3</v>
      </c>
      <c r="C6" s="17">
        <v>4793520000</v>
      </c>
      <c r="D6" s="17">
        <v>5</v>
      </c>
      <c r="E6" s="17">
        <v>3074710000</v>
      </c>
      <c r="F6" s="17">
        <v>8</v>
      </c>
      <c r="G6" s="17">
        <v>7868230000</v>
      </c>
      <c r="H6" s="16" t="s">
        <v>75</v>
      </c>
      <c r="I6" s="17">
        <v>2</v>
      </c>
      <c r="J6" s="17">
        <v>1</v>
      </c>
      <c r="K6" s="17">
        <v>2</v>
      </c>
      <c r="L6" s="17">
        <v>1</v>
      </c>
      <c r="M6" s="17">
        <v>6</v>
      </c>
      <c r="P6" s="16" t="s">
        <v>90</v>
      </c>
      <c r="Q6" s="20">
        <v>1</v>
      </c>
      <c r="R6" s="17">
        <v>81860000</v>
      </c>
    </row>
    <row r="7" spans="1:18">
      <c r="A7" s="16" t="s">
        <v>99</v>
      </c>
      <c r="B7" s="17"/>
      <c r="C7" s="17"/>
      <c r="D7" s="17">
        <v>8</v>
      </c>
      <c r="E7" s="17">
        <v>15746610000</v>
      </c>
      <c r="F7" s="17">
        <v>8</v>
      </c>
      <c r="G7" s="17">
        <v>15746610000</v>
      </c>
      <c r="H7" s="16" t="s">
        <v>71</v>
      </c>
      <c r="I7" s="17">
        <v>1</v>
      </c>
      <c r="J7" s="17">
        <v>1</v>
      </c>
      <c r="K7" s="17">
        <v>1</v>
      </c>
      <c r="L7" s="17">
        <v>2</v>
      </c>
      <c r="M7" s="17">
        <v>5</v>
      </c>
      <c r="P7" s="16" t="s">
        <v>46</v>
      </c>
      <c r="Q7" s="20">
        <v>1</v>
      </c>
      <c r="R7" s="17">
        <v>247220000</v>
      </c>
    </row>
    <row r="8" spans="1:18">
      <c r="A8" s="16" t="s">
        <v>104</v>
      </c>
      <c r="B8" s="17"/>
      <c r="C8" s="17"/>
      <c r="D8" s="17">
        <v>8</v>
      </c>
      <c r="E8" s="17">
        <v>9663440000</v>
      </c>
      <c r="F8" s="17">
        <v>8</v>
      </c>
      <c r="G8" s="17">
        <v>9663440000</v>
      </c>
      <c r="H8" s="16" t="s">
        <v>64</v>
      </c>
      <c r="I8" s="17">
        <v>1</v>
      </c>
      <c r="J8" s="17">
        <v>1</v>
      </c>
      <c r="K8" s="17">
        <v>1</v>
      </c>
      <c r="L8" s="17">
        <v>2</v>
      </c>
      <c r="M8" s="17">
        <v>5</v>
      </c>
      <c r="P8" s="16" t="s">
        <v>68</v>
      </c>
      <c r="Q8" s="20">
        <v>1</v>
      </c>
      <c r="R8" s="17">
        <v>48880000</v>
      </c>
    </row>
    <row r="9" spans="1:18">
      <c r="A9" s="16" t="s">
        <v>112</v>
      </c>
      <c r="B9" s="17">
        <v>1</v>
      </c>
      <c r="C9" s="17">
        <v>737180000</v>
      </c>
      <c r="D9" s="17">
        <v>7</v>
      </c>
      <c r="E9" s="17">
        <v>8015990000</v>
      </c>
      <c r="F9" s="17">
        <v>8</v>
      </c>
      <c r="G9" s="17">
        <v>8753170000</v>
      </c>
      <c r="H9" s="16" t="s">
        <v>50</v>
      </c>
      <c r="I9" s="17">
        <v>1</v>
      </c>
      <c r="J9" s="17">
        <v>2</v>
      </c>
      <c r="K9" s="17">
        <v>1</v>
      </c>
      <c r="L9" s="17">
        <v>1</v>
      </c>
      <c r="M9" s="17">
        <v>5</v>
      </c>
      <c r="P9" s="16" t="s">
        <v>105</v>
      </c>
      <c r="Q9" s="20">
        <v>1</v>
      </c>
      <c r="R9" s="17">
        <v>1395580000</v>
      </c>
    </row>
    <row r="10" spans="1:18">
      <c r="A10" s="16" t="s">
        <v>117</v>
      </c>
      <c r="B10" s="17">
        <v>4</v>
      </c>
      <c r="C10" s="17">
        <v>5530700000</v>
      </c>
      <c r="D10" s="17">
        <v>28</v>
      </c>
      <c r="E10" s="17">
        <v>36500750000</v>
      </c>
      <c r="F10" s="17">
        <v>32</v>
      </c>
      <c r="G10" s="17">
        <v>42031450000</v>
      </c>
      <c r="H10" s="16" t="s">
        <v>43</v>
      </c>
      <c r="I10" s="17">
        <v>1</v>
      </c>
      <c r="J10" s="17">
        <v>2</v>
      </c>
      <c r="K10" s="17">
        <v>1</v>
      </c>
      <c r="L10" s="17">
        <v>1</v>
      </c>
      <c r="M10" s="17">
        <v>5</v>
      </c>
      <c r="P10" s="16" t="s">
        <v>102</v>
      </c>
      <c r="Q10" s="20">
        <v>1</v>
      </c>
      <c r="R10" s="17">
        <v>737180000</v>
      </c>
    </row>
    <row r="11" spans="1:18">
      <c r="H11" s="16" t="s">
        <v>117</v>
      </c>
      <c r="I11" s="17">
        <v>8</v>
      </c>
      <c r="J11" s="17">
        <v>8</v>
      </c>
      <c r="K11" s="17">
        <v>8</v>
      </c>
      <c r="L11" s="17">
        <v>8</v>
      </c>
      <c r="M11" s="17">
        <v>32</v>
      </c>
      <c r="P11" s="16" t="s">
        <v>55</v>
      </c>
      <c r="Q11" s="20">
        <v>2</v>
      </c>
      <c r="R11" s="17">
        <v>1042540000</v>
      </c>
    </row>
    <row r="12" spans="1:18">
      <c r="P12" s="16" t="s">
        <v>77</v>
      </c>
      <c r="Q12" s="20">
        <v>1</v>
      </c>
      <c r="R12" s="17">
        <v>58220000</v>
      </c>
    </row>
    <row r="13" spans="1:18">
      <c r="P13" s="16" t="s">
        <v>109</v>
      </c>
      <c r="Q13" s="20">
        <v>1</v>
      </c>
      <c r="R13" s="17">
        <v>763290000</v>
      </c>
    </row>
    <row r="14" spans="1:18">
      <c r="P14" s="16" t="s">
        <v>107</v>
      </c>
      <c r="Q14" s="20">
        <v>2</v>
      </c>
      <c r="R14" s="17">
        <v>205280000</v>
      </c>
    </row>
    <row r="15" spans="1:18">
      <c r="P15" s="16" t="s">
        <v>108</v>
      </c>
      <c r="Q15" s="20">
        <v>1</v>
      </c>
      <c r="R15" s="17">
        <v>461080000</v>
      </c>
    </row>
    <row r="16" spans="1:18">
      <c r="P16" s="16" t="s">
        <v>72</v>
      </c>
      <c r="Q16" s="20">
        <v>1</v>
      </c>
      <c r="R16" s="17">
        <v>1952280000</v>
      </c>
    </row>
    <row r="17" spans="16:18">
      <c r="P17" s="16" t="s">
        <v>79</v>
      </c>
      <c r="Q17" s="20">
        <v>1</v>
      </c>
      <c r="R17" s="17">
        <v>3434740000</v>
      </c>
    </row>
    <row r="18" spans="16:18">
      <c r="P18" s="16" t="s">
        <v>113</v>
      </c>
      <c r="Q18" s="20">
        <v>1</v>
      </c>
      <c r="R18" s="17">
        <v>138270000</v>
      </c>
    </row>
    <row r="19" spans="16:18">
      <c r="P19" s="16" t="s">
        <v>85</v>
      </c>
      <c r="Q19" s="20">
        <v>1</v>
      </c>
      <c r="R19" s="17">
        <v>4505590000</v>
      </c>
    </row>
    <row r="20" spans="16:18">
      <c r="P20" s="16" t="s">
        <v>61</v>
      </c>
      <c r="Q20" s="20">
        <v>3</v>
      </c>
      <c r="R20" s="17">
        <v>5817090000</v>
      </c>
    </row>
    <row r="21" spans="16:18">
      <c r="P21" s="16" t="s">
        <v>114</v>
      </c>
      <c r="Q21" s="20">
        <v>1</v>
      </c>
      <c r="R21" s="17">
        <v>804090000</v>
      </c>
    </row>
    <row r="22" spans="16:18">
      <c r="P22" s="16" t="s">
        <v>60</v>
      </c>
      <c r="Q22" s="20">
        <v>2</v>
      </c>
      <c r="R22" s="17">
        <v>3138990000</v>
      </c>
    </row>
    <row r="23" spans="16:18">
      <c r="P23" s="16" t="s">
        <v>37</v>
      </c>
      <c r="Q23" s="20">
        <v>2</v>
      </c>
      <c r="R23" s="17">
        <v>395390000</v>
      </c>
    </row>
    <row r="24" spans="16:18">
      <c r="P24" s="16" t="s">
        <v>88</v>
      </c>
      <c r="Q24" s="20">
        <v>1</v>
      </c>
      <c r="R24" s="17">
        <v>206070000</v>
      </c>
    </row>
    <row r="25" spans="16:18">
      <c r="P25" s="16" t="s">
        <v>65</v>
      </c>
      <c r="Q25" s="20">
        <v>2</v>
      </c>
      <c r="R25" s="17">
        <v>958410000</v>
      </c>
    </row>
    <row r="26" spans="16:18">
      <c r="P26" s="16" t="s">
        <v>106</v>
      </c>
      <c r="Q26" s="20">
        <v>1</v>
      </c>
      <c r="R26" s="17">
        <v>6134380000</v>
      </c>
    </row>
    <row r="27" spans="16:18">
      <c r="P27" s="16" t="s">
        <v>52</v>
      </c>
      <c r="Q27" s="20">
        <v>1</v>
      </c>
      <c r="R27" s="17">
        <v>407370000</v>
      </c>
    </row>
    <row r="28" spans="16:18">
      <c r="P28" s="16" t="s">
        <v>117</v>
      </c>
      <c r="Q28" s="20">
        <v>32</v>
      </c>
      <c r="R28" s="17">
        <v>42031450000</v>
      </c>
    </row>
  </sheetData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6"/>
  <sheetViews>
    <sheetView workbookViewId="0"/>
  </sheetViews>
  <sheetFormatPr defaultRowHeight="17.399999999999999"/>
  <cols>
    <col min="2" max="2" width="8.8984375" bestFit="1" customWidth="1"/>
    <col min="3" max="3" width="12.796875" bestFit="1" customWidth="1"/>
    <col min="4" max="5" width="8.8984375" bestFit="1" customWidth="1"/>
  </cols>
  <sheetData>
    <row r="2" spans="2:5">
      <c r="B2" t="s">
        <v>122</v>
      </c>
    </row>
    <row r="3" spans="2:5">
      <c r="B3" t="s">
        <v>123</v>
      </c>
    </row>
    <row r="5" spans="2:5" ht="27.6">
      <c r="B5" s="18" t="s">
        <v>124</v>
      </c>
      <c r="C5" s="18" t="s">
        <v>3</v>
      </c>
      <c r="D5" s="18" t="s">
        <v>125</v>
      </c>
      <c r="E5" s="18" t="s">
        <v>126</v>
      </c>
    </row>
    <row r="6" spans="2:5" ht="19.2">
      <c r="B6" s="19">
        <f>COUNTA(TBL_LENDER[연번])</f>
        <v>32</v>
      </c>
      <c r="C6" s="19">
        <f>SUM(TBL_LENDER[청구액(원)])</f>
        <v>42031450000</v>
      </c>
      <c r="D6" s="19">
        <f>COUNTIF(TBL_LENDER[신규],"신규")</f>
        <v>32</v>
      </c>
      <c r="E6" s="19">
        <f>COUNTIF(TBL_LENDER[최근 7일],"해당")</f>
        <v>1</v>
      </c>
    </row>
  </sheetData>
  <phoneticPr fontId="10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탐색</vt:lpstr>
      <vt:lpstr>피벗집계</vt:lpstr>
      <vt:lpstr>대시보드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DG KIM</cp:lastModifiedBy>
  <dcterms:created xsi:type="dcterms:W3CDTF">2026-08-12T10:25:02Z</dcterms:created>
  <dcterms:modified xsi:type="dcterms:W3CDTF">2026-08-12T12:03:30Z</dcterms:modified>
</cp:coreProperties>
</file>